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YPP\Merged CapstoneConnect\dataset\"/>
    </mc:Choice>
  </mc:AlternateContent>
  <bookViews>
    <workbookView xWindow="0" yWindow="0" windowWidth="23040" windowHeight="8916" activeTab="1"/>
  </bookViews>
  <sheets>
    <sheet name="FypGroup" sheetId="1" r:id="rId1"/>
    <sheet name="Sheet1" sheetId="5" r:id="rId2"/>
    <sheet name="Supervisor" sheetId="3" r:id="rId3"/>
    <sheet name="Submission" sheetId="2" r:id="rId4"/>
    <sheet name="Repository" sheetId="4" r:id="rId5"/>
  </sheets>
  <calcPr calcId="162913"/>
</workbook>
</file>

<file path=xl/calcChain.xml><?xml version="1.0" encoding="utf-8"?>
<calcChain xmlns="http://schemas.openxmlformats.org/spreadsheetml/2006/main">
  <c r="C31" i="3" l="1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<sst xmlns="http://schemas.openxmlformats.org/spreadsheetml/2006/main" count="324" uniqueCount="168">
  <si>
    <t>Id</t>
  </si>
  <si>
    <t>Title</t>
  </si>
  <si>
    <t>Supervisor_Id</t>
  </si>
  <si>
    <t>Cosupervisor_Id</t>
  </si>
  <si>
    <t>Approved</t>
  </si>
  <si>
    <t>Status</t>
  </si>
  <si>
    <t>CompletionDate</t>
  </si>
  <si>
    <t>NumberofMembers</t>
  </si>
  <si>
    <t>FypYear</t>
  </si>
  <si>
    <t>TeamLeadId</t>
  </si>
  <si>
    <t>HealthHub Connect</t>
  </si>
  <si>
    <t>cs181209</t>
  </si>
  <si>
    <t>cs171209</t>
  </si>
  <si>
    <t>ongoing</t>
  </si>
  <si>
    <t>NULL</t>
  </si>
  <si>
    <t>cs201718</t>
  </si>
  <si>
    <t>Type</t>
  </si>
  <si>
    <t>Fyp_GrpID</t>
  </si>
  <si>
    <t>status</t>
  </si>
  <si>
    <t>Feedback</t>
  </si>
  <si>
    <t>Grade</t>
  </si>
  <si>
    <t>DocumentPath</t>
  </si>
  <si>
    <t>SupervisorID</t>
  </si>
  <si>
    <t>CoSupervisorID</t>
  </si>
  <si>
    <t>Accepted</t>
  </si>
  <si>
    <t>D:\FYPP\CapstoneConnect\CapstoneConnect\CapstoneConnect\wwwroot\uploads\1000\Proposal- HealthHubConnect(P-1000).docx</t>
  </si>
  <si>
    <t>Username</t>
  </si>
  <si>
    <t>AvailableSlots</t>
  </si>
  <si>
    <t>FYPPreferences</t>
  </si>
  <si>
    <t>Department</t>
  </si>
  <si>
    <t>AvgGrade</t>
  </si>
  <si>
    <t>AvgRank</t>
  </si>
  <si>
    <t>AdminRank</t>
  </si>
  <si>
    <t>Abdullah Qazi</t>
  </si>
  <si>
    <t>B</t>
  </si>
  <si>
    <t>Computer Science</t>
  </si>
  <si>
    <t>cs181210</t>
  </si>
  <si>
    <t>Aisha Ahmed</t>
  </si>
  <si>
    <t>Data Science</t>
  </si>
  <si>
    <t>cs181211</t>
  </si>
  <si>
    <t>Hassan Malik</t>
  </si>
  <si>
    <t>Artificial Intelligence</t>
  </si>
  <si>
    <t>cs181212</t>
  </si>
  <si>
    <t>Fatima Khan</t>
  </si>
  <si>
    <t>Software Engineering</t>
  </si>
  <si>
    <t>cs181213</t>
  </si>
  <si>
    <t>Usman Shah</t>
  </si>
  <si>
    <t>cs181214</t>
  </si>
  <si>
    <t>Sana Ali</t>
  </si>
  <si>
    <t>cs181215</t>
  </si>
  <si>
    <t>Bilal Mahmood</t>
  </si>
  <si>
    <t>cs181216</t>
  </si>
  <si>
    <t>Mariam Hassan</t>
  </si>
  <si>
    <t>cs181217</t>
  </si>
  <si>
    <t>Imran Abbas</t>
  </si>
  <si>
    <t>cs181218</t>
  </si>
  <si>
    <t>Hira Malik</t>
  </si>
  <si>
    <t>cs181219</t>
  </si>
  <si>
    <t>Aliya Ahmed</t>
  </si>
  <si>
    <t>cs181220</t>
  </si>
  <si>
    <t>Saad Raza</t>
  </si>
  <si>
    <t>cs181221</t>
  </si>
  <si>
    <t>Ayesha Siddiqui</t>
  </si>
  <si>
    <t>cs181222</t>
  </si>
  <si>
    <t>Fahad Khan</t>
  </si>
  <si>
    <t>cs181223</t>
  </si>
  <si>
    <t>Zara Iqbal</t>
  </si>
  <si>
    <t>cs181224</t>
  </si>
  <si>
    <t>Amir Qureshi</t>
  </si>
  <si>
    <t>cs181225</t>
  </si>
  <si>
    <t>Hina Aslam</t>
  </si>
  <si>
    <t>cs181226</t>
  </si>
  <si>
    <t>Farhan Akhtar</t>
  </si>
  <si>
    <t>cs181227</t>
  </si>
  <si>
    <t>Sara Khan</t>
  </si>
  <si>
    <t>cs181228</t>
  </si>
  <si>
    <t>Danish Ali</t>
  </si>
  <si>
    <t>cs181229</t>
  </si>
  <si>
    <t>Nida Farooq</t>
  </si>
  <si>
    <t>cs181230</t>
  </si>
  <si>
    <t>Asad Ahmed</t>
  </si>
  <si>
    <t>cs181231</t>
  </si>
  <si>
    <t>Rabia Malik</t>
  </si>
  <si>
    <t>cs181232</t>
  </si>
  <si>
    <t>Waqar Khan</t>
  </si>
  <si>
    <t>cs181233</t>
  </si>
  <si>
    <t>Zoya Akram</t>
  </si>
  <si>
    <t>cs181234</t>
  </si>
  <si>
    <t>Kamran Ali</t>
  </si>
  <si>
    <t>cs181235</t>
  </si>
  <si>
    <t>Mehreen Khan</t>
  </si>
  <si>
    <t>cs181236</t>
  </si>
  <si>
    <t>Tariq Malik</t>
  </si>
  <si>
    <t>cs181237</t>
  </si>
  <si>
    <t>Amina Sheikh</t>
  </si>
  <si>
    <t>cs181238</t>
  </si>
  <si>
    <t>Shehryar Ahmed</t>
  </si>
  <si>
    <t>FypId</t>
  </si>
  <si>
    <t>ProjectDescription</t>
  </si>
  <si>
    <t>Inspiration</t>
  </si>
  <si>
    <t>Tags</t>
  </si>
  <si>
    <t>TeamleadId</t>
  </si>
  <si>
    <t>SupervisorRank</t>
  </si>
  <si>
    <t>CoSupervisorRank</t>
  </si>
  <si>
    <t>Predictive Analytics for Stock Market Trends, Customer Segmentation Using Machine Learning, Real-Time Sentiment Analysis on Social Media</t>
  </si>
  <si>
    <t>Reinforcement Learning for Game AI, AI-based Personalized Learning System, Natural Language Processing for Text Summarization</t>
  </si>
  <si>
    <t>Agile Project Management Tool, Microservices Architecture for E-commerce Platform, DevOps Automation Pipeline</t>
  </si>
  <si>
    <t>Blockchain-based Voting System, Distributed File Storage System, Real-Time IoT Data Processing Framework</t>
  </si>
  <si>
    <t>A</t>
  </si>
  <si>
    <t>A-</t>
  </si>
  <si>
    <t>B+</t>
  </si>
  <si>
    <t>B-</t>
  </si>
  <si>
    <t>C+</t>
  </si>
  <si>
    <t>C</t>
  </si>
  <si>
    <t>cs201696</t>
  </si>
  <si>
    <t>cs201697</t>
  </si>
  <si>
    <t>cs201698</t>
  </si>
  <si>
    <t>cs201699</t>
  </si>
  <si>
    <t>cs201700</t>
  </si>
  <si>
    <t>cs201701</t>
  </si>
  <si>
    <t>cs201702</t>
  </si>
  <si>
    <t>cs201703</t>
  </si>
  <si>
    <t>cs201704</t>
  </si>
  <si>
    <t>cs201705</t>
  </si>
  <si>
    <t>cs201706</t>
  </si>
  <si>
    <t>cs201707</t>
  </si>
  <si>
    <t>cs201708</t>
  </si>
  <si>
    <t>cs201709</t>
  </si>
  <si>
    <t>cs201710</t>
  </si>
  <si>
    <t>cs201711</t>
  </si>
  <si>
    <t>cs201712</t>
  </si>
  <si>
    <t>cs201713</t>
  </si>
  <si>
    <t>cs201714</t>
  </si>
  <si>
    <t>cs201715</t>
  </si>
  <si>
    <t>cs201716</t>
  </si>
  <si>
    <t>cs201717</t>
  </si>
  <si>
    <t>cs201719</t>
  </si>
  <si>
    <t>cs201720</t>
  </si>
  <si>
    <t>cs201721</t>
  </si>
  <si>
    <t>cs201722</t>
  </si>
  <si>
    <t>cs201723</t>
  </si>
  <si>
    <t>cs201724</t>
  </si>
  <si>
    <t>cs201725</t>
  </si>
  <si>
    <t>cs201726</t>
  </si>
  <si>
    <t>cs201727</t>
  </si>
  <si>
    <t>cs201728</t>
  </si>
  <si>
    <t>cs201729</t>
  </si>
  <si>
    <t>cs201730</t>
  </si>
  <si>
    <t>cs201731</t>
  </si>
  <si>
    <t>cs201732</t>
  </si>
  <si>
    <t>Submission Logic</t>
  </si>
  <si>
    <t>FYP Group Status</t>
  </si>
  <si>
    <t>Eligible to Submission</t>
  </si>
  <si>
    <t>New</t>
  </si>
  <si>
    <t>Abstract</t>
  </si>
  <si>
    <t>FYP - 1</t>
  </si>
  <si>
    <t xml:space="preserve">Proposal Document </t>
  </si>
  <si>
    <t>Proposal Defence PPT</t>
  </si>
  <si>
    <t>Fortnightly Signup Sheet</t>
  </si>
  <si>
    <t>MOM-Format</t>
  </si>
  <si>
    <t>Gantt Chart</t>
  </si>
  <si>
    <t>SRS</t>
  </si>
  <si>
    <t>SDS</t>
  </si>
  <si>
    <t>FYP - 2</t>
  </si>
  <si>
    <t>Final Presentation-PPT</t>
  </si>
  <si>
    <t>Final Report</t>
  </si>
  <si>
    <t>Test Plan and Test-Case</t>
  </si>
  <si>
    <t>General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</si>
</sst>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2"/>
      <color rgb="FF0D0D0D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D0D0D"/>
      <name val="Arial"/>
      <family val="2"/>
    </font>
    <font>
      <sz val="14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/>
    <xf numFmtId="0" fontId="3" fillId="2" borderId="0" xfId="0" applyFont="1" applyFill="1" applyAlignment="1"/>
    <xf numFmtId="0" fontId="4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5" fillId="0" borderId="0" xfId="0" applyFont="1" applyAlignment="1"/>
    <xf numFmtId="0" fontId="2" fillId="0" borderId="0" xfId="0" applyFont="1" applyFill="1" applyBorder="1" applyAlignment="1"/>
    <xf numFmtId="0" fontId="6" fillId="0" borderId="0" xfId="0" applyFont="1" applyFill="1" applyBorder="1" applyAlignment="1"/>
    <xf numFmtId="14" fontId="1" fillId="0" borderId="0" xfId="0" applyNumberFormat="1" applyFont="1" applyAlignment="1"/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E3:F16" totalsRowShown="0" headerRowDxfId="0">
  <autoFilter ref="E3:F16"/>
  <tableColumns count="2">
    <tableColumn id="1" name="FYP Group Status"/>
    <tableColumn id="4" name="Eligible to Submis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9"/>
  <sheetViews>
    <sheetView workbookViewId="0">
      <selection activeCell="C12" sqref="C12"/>
    </sheetView>
  </sheetViews>
  <sheetFormatPr defaultColWidth="12.6640625" defaultRowHeight="15.75" customHeight="1" x14ac:dyDescent="0.25"/>
  <cols>
    <col min="2" max="2" width="15.44140625" customWidth="1"/>
    <col min="7" max="7" width="19.77734375" customWidth="1"/>
    <col min="8" max="8" width="15.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1000</v>
      </c>
      <c r="B2" s="1" t="s">
        <v>10</v>
      </c>
      <c r="C2" s="1" t="s">
        <v>11</v>
      </c>
      <c r="D2" s="1" t="s">
        <v>12</v>
      </c>
      <c r="E2" s="1">
        <v>0</v>
      </c>
      <c r="F2" s="1" t="s">
        <v>13</v>
      </c>
      <c r="G2" s="12">
        <v>45505</v>
      </c>
      <c r="H2" s="1">
        <v>3</v>
      </c>
      <c r="I2" s="1">
        <v>2024</v>
      </c>
      <c r="J2" s="1" t="s">
        <v>15</v>
      </c>
    </row>
    <row r="3" spans="1:10" ht="15.75" customHeight="1" x14ac:dyDescent="0.25">
      <c r="H3" s="4">
        <v>3</v>
      </c>
      <c r="I3" s="4">
        <v>2024</v>
      </c>
      <c r="J3" t="s">
        <v>114</v>
      </c>
    </row>
    <row r="4" spans="1:10" ht="15.75" customHeight="1" x14ac:dyDescent="0.25">
      <c r="H4" s="4">
        <v>3</v>
      </c>
      <c r="I4" s="4">
        <v>2024</v>
      </c>
      <c r="J4" t="s">
        <v>115</v>
      </c>
    </row>
    <row r="5" spans="1:10" ht="15.75" customHeight="1" x14ac:dyDescent="0.25">
      <c r="H5" s="4">
        <v>3</v>
      </c>
      <c r="I5" s="4">
        <v>2024</v>
      </c>
      <c r="J5" t="s">
        <v>116</v>
      </c>
    </row>
    <row r="6" spans="1:10" ht="15.75" customHeight="1" x14ac:dyDescent="0.25">
      <c r="H6" s="4">
        <v>3</v>
      </c>
      <c r="I6" s="4">
        <v>2024</v>
      </c>
      <c r="J6" t="s">
        <v>117</v>
      </c>
    </row>
    <row r="7" spans="1:10" ht="15.75" customHeight="1" x14ac:dyDescent="0.25">
      <c r="H7" s="4">
        <v>3</v>
      </c>
      <c r="I7" s="4">
        <v>2024</v>
      </c>
      <c r="J7" t="s">
        <v>118</v>
      </c>
    </row>
    <row r="8" spans="1:10" ht="15.75" customHeight="1" x14ac:dyDescent="0.25">
      <c r="H8" s="4">
        <v>3</v>
      </c>
      <c r="I8" s="4">
        <v>2024</v>
      </c>
      <c r="J8" t="s">
        <v>119</v>
      </c>
    </row>
    <row r="9" spans="1:10" ht="15.75" customHeight="1" x14ac:dyDescent="0.25">
      <c r="H9" s="4">
        <v>3</v>
      </c>
      <c r="I9" s="4">
        <v>2024</v>
      </c>
      <c r="J9" t="s">
        <v>120</v>
      </c>
    </row>
    <row r="10" spans="1:10" ht="15.75" customHeight="1" x14ac:dyDescent="0.25">
      <c r="H10" s="4">
        <v>3</v>
      </c>
      <c r="I10" s="4">
        <v>2024</v>
      </c>
      <c r="J10" t="s">
        <v>121</v>
      </c>
    </row>
    <row r="11" spans="1:10" ht="15.75" customHeight="1" x14ac:dyDescent="0.25">
      <c r="H11" s="4">
        <v>3</v>
      </c>
      <c r="I11" s="4">
        <v>2024</v>
      </c>
      <c r="J11" t="s">
        <v>122</v>
      </c>
    </row>
    <row r="12" spans="1:10" ht="15.75" customHeight="1" x14ac:dyDescent="0.25">
      <c r="H12" s="4">
        <v>3</v>
      </c>
      <c r="I12" s="4">
        <v>2024</v>
      </c>
      <c r="J12" t="s">
        <v>123</v>
      </c>
    </row>
    <row r="13" spans="1:10" ht="15.75" customHeight="1" x14ac:dyDescent="0.25">
      <c r="H13" s="4">
        <v>3</v>
      </c>
      <c r="I13" s="4">
        <v>2024</v>
      </c>
      <c r="J13" t="s">
        <v>124</v>
      </c>
    </row>
    <row r="14" spans="1:10" ht="15.75" customHeight="1" x14ac:dyDescent="0.25">
      <c r="H14" s="4">
        <v>3</v>
      </c>
      <c r="I14" s="4">
        <v>2024</v>
      </c>
      <c r="J14" t="s">
        <v>125</v>
      </c>
    </row>
    <row r="15" spans="1:10" ht="15.75" customHeight="1" x14ac:dyDescent="0.25">
      <c r="H15" s="4">
        <v>3</v>
      </c>
      <c r="I15" s="4">
        <v>2024</v>
      </c>
      <c r="J15" t="s">
        <v>126</v>
      </c>
    </row>
    <row r="16" spans="1:10" ht="15.75" customHeight="1" x14ac:dyDescent="0.25">
      <c r="H16" s="4">
        <v>3</v>
      </c>
      <c r="I16" s="4">
        <v>2024</v>
      </c>
      <c r="J16" t="s">
        <v>127</v>
      </c>
    </row>
    <row r="17" spans="8:10" ht="15.75" customHeight="1" x14ac:dyDescent="0.25">
      <c r="H17" s="4">
        <v>3</v>
      </c>
      <c r="I17" s="4">
        <v>2024</v>
      </c>
      <c r="J17" t="s">
        <v>128</v>
      </c>
    </row>
    <row r="18" spans="8:10" ht="15.75" customHeight="1" x14ac:dyDescent="0.25">
      <c r="H18" s="4">
        <v>3</v>
      </c>
      <c r="I18" s="4">
        <v>2024</v>
      </c>
      <c r="J18" t="s">
        <v>129</v>
      </c>
    </row>
    <row r="19" spans="8:10" ht="15.75" customHeight="1" x14ac:dyDescent="0.25">
      <c r="H19" s="4">
        <v>3</v>
      </c>
      <c r="I19" s="4">
        <v>2024</v>
      </c>
      <c r="J19" t="s">
        <v>130</v>
      </c>
    </row>
    <row r="20" spans="8:10" ht="15.75" customHeight="1" x14ac:dyDescent="0.25">
      <c r="H20" s="4">
        <v>3</v>
      </c>
      <c r="I20" s="4">
        <v>2024</v>
      </c>
      <c r="J20" t="s">
        <v>131</v>
      </c>
    </row>
    <row r="21" spans="8:10" ht="15.75" customHeight="1" x14ac:dyDescent="0.25">
      <c r="H21" s="4">
        <v>3</v>
      </c>
      <c r="I21" s="4">
        <v>2024</v>
      </c>
      <c r="J21" t="s">
        <v>132</v>
      </c>
    </row>
    <row r="22" spans="8:10" ht="15.75" customHeight="1" x14ac:dyDescent="0.25">
      <c r="H22" s="4">
        <v>3</v>
      </c>
      <c r="I22" s="4">
        <v>2024</v>
      </c>
      <c r="J22" t="s">
        <v>133</v>
      </c>
    </row>
    <row r="23" spans="8:10" ht="15.75" customHeight="1" x14ac:dyDescent="0.25">
      <c r="H23" s="4">
        <v>3</v>
      </c>
      <c r="I23" s="4">
        <v>2024</v>
      </c>
      <c r="J23" t="s">
        <v>134</v>
      </c>
    </row>
    <row r="24" spans="8:10" ht="15.75" customHeight="1" x14ac:dyDescent="0.25">
      <c r="H24" s="4">
        <v>3</v>
      </c>
      <c r="I24" s="4">
        <v>2024</v>
      </c>
      <c r="J24" t="s">
        <v>135</v>
      </c>
    </row>
    <row r="25" spans="8:10" ht="15.75" customHeight="1" x14ac:dyDescent="0.25">
      <c r="H25" s="4">
        <v>3</v>
      </c>
      <c r="I25" s="4">
        <v>2024</v>
      </c>
      <c r="J25" t="s">
        <v>15</v>
      </c>
    </row>
    <row r="26" spans="8:10" ht="15.75" customHeight="1" x14ac:dyDescent="0.25">
      <c r="H26" s="4">
        <v>3</v>
      </c>
      <c r="I26" s="4">
        <v>2024</v>
      </c>
      <c r="J26" t="s">
        <v>136</v>
      </c>
    </row>
    <row r="27" spans="8:10" ht="15.75" customHeight="1" x14ac:dyDescent="0.25">
      <c r="H27" s="4">
        <v>3</v>
      </c>
      <c r="I27" s="4">
        <v>2024</v>
      </c>
      <c r="J27" t="s">
        <v>137</v>
      </c>
    </row>
    <row r="28" spans="8:10" ht="15.75" customHeight="1" x14ac:dyDescent="0.25">
      <c r="H28" s="4">
        <v>3</v>
      </c>
      <c r="I28" s="4">
        <v>2024</v>
      </c>
      <c r="J28" t="s">
        <v>138</v>
      </c>
    </row>
    <row r="29" spans="8:10" ht="15.75" customHeight="1" x14ac:dyDescent="0.25">
      <c r="H29" s="4">
        <v>3</v>
      </c>
      <c r="I29" s="4">
        <v>2024</v>
      </c>
      <c r="J29" t="s">
        <v>139</v>
      </c>
    </row>
    <row r="30" spans="8:10" ht="15.75" customHeight="1" x14ac:dyDescent="0.25">
      <c r="H30" s="4">
        <v>3</v>
      </c>
      <c r="I30" s="4">
        <v>2024</v>
      </c>
      <c r="J30" t="s">
        <v>140</v>
      </c>
    </row>
    <row r="31" spans="8:10" ht="15.75" customHeight="1" x14ac:dyDescent="0.25">
      <c r="H31" s="4">
        <v>3</v>
      </c>
      <c r="I31" s="4">
        <v>2024</v>
      </c>
      <c r="J31" t="s">
        <v>141</v>
      </c>
    </row>
    <row r="32" spans="8:10" ht="15.75" customHeight="1" x14ac:dyDescent="0.25">
      <c r="H32" s="4">
        <v>3</v>
      </c>
      <c r="I32" s="4">
        <v>2024</v>
      </c>
      <c r="J32" t="s">
        <v>142</v>
      </c>
    </row>
    <row r="33" spans="8:10" ht="15.75" customHeight="1" x14ac:dyDescent="0.25">
      <c r="H33" s="4">
        <v>3</v>
      </c>
      <c r="I33" s="4">
        <v>2024</v>
      </c>
      <c r="J33" t="s">
        <v>143</v>
      </c>
    </row>
    <row r="34" spans="8:10" ht="15.75" customHeight="1" x14ac:dyDescent="0.25">
      <c r="H34" s="4">
        <v>3</v>
      </c>
      <c r="I34" s="4">
        <v>2024</v>
      </c>
      <c r="J34" t="s">
        <v>144</v>
      </c>
    </row>
    <row r="35" spans="8:10" ht="15.75" customHeight="1" x14ac:dyDescent="0.25">
      <c r="H35" s="4">
        <v>3</v>
      </c>
      <c r="I35" s="4">
        <v>2024</v>
      </c>
      <c r="J35" t="s">
        <v>145</v>
      </c>
    </row>
    <row r="36" spans="8:10" ht="15.75" customHeight="1" x14ac:dyDescent="0.25">
      <c r="H36" s="4">
        <v>3</v>
      </c>
      <c r="I36" s="4">
        <v>2024</v>
      </c>
      <c r="J36" t="s">
        <v>146</v>
      </c>
    </row>
    <row r="37" spans="8:10" ht="15.75" customHeight="1" x14ac:dyDescent="0.25">
      <c r="H37" s="4">
        <v>3</v>
      </c>
      <c r="I37" s="4">
        <v>2024</v>
      </c>
      <c r="J37" t="s">
        <v>147</v>
      </c>
    </row>
    <row r="38" spans="8:10" ht="15.75" customHeight="1" x14ac:dyDescent="0.25">
      <c r="H38" s="4">
        <v>3</v>
      </c>
      <c r="I38" s="4">
        <v>2024</v>
      </c>
      <c r="J38" t="s">
        <v>148</v>
      </c>
    </row>
    <row r="39" spans="8:10" ht="15.75" customHeight="1" x14ac:dyDescent="0.25">
      <c r="H39" s="4">
        <v>3</v>
      </c>
      <c r="I39" s="4">
        <v>2024</v>
      </c>
      <c r="J39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16"/>
  <sheetViews>
    <sheetView tabSelected="1" workbookViewId="0">
      <selection activeCell="F16" sqref="F16"/>
    </sheetView>
  </sheetViews>
  <sheetFormatPr defaultRowHeight="13.2" x14ac:dyDescent="0.25"/>
  <cols>
    <col min="5" max="5" width="28" bestFit="1" customWidth="1"/>
    <col min="6" max="6" width="33.88671875" bestFit="1" customWidth="1"/>
  </cols>
  <sheetData>
    <row r="1" spans="5:6" x14ac:dyDescent="0.25">
      <c r="E1" s="13" t="s">
        <v>150</v>
      </c>
      <c r="F1" s="13"/>
    </row>
    <row r="3" spans="5:6" ht="17.399999999999999" x14ac:dyDescent="0.3">
      <c r="E3" s="14" t="s">
        <v>151</v>
      </c>
      <c r="F3" s="14" t="s">
        <v>152</v>
      </c>
    </row>
    <row r="5" spans="5:6" x14ac:dyDescent="0.25">
      <c r="E5" t="s">
        <v>153</v>
      </c>
      <c r="F5" s="6" t="s">
        <v>154</v>
      </c>
    </row>
    <row r="6" spans="5:6" x14ac:dyDescent="0.25">
      <c r="E6" s="6" t="s">
        <v>155</v>
      </c>
      <c r="F6" s="6" t="s">
        <v>156</v>
      </c>
    </row>
    <row r="7" spans="5:6" x14ac:dyDescent="0.25">
      <c r="E7" s="6" t="s">
        <v>155</v>
      </c>
      <c r="F7" s="6" t="s">
        <v>157</v>
      </c>
    </row>
    <row r="8" spans="5:6" x14ac:dyDescent="0.25">
      <c r="E8" s="6" t="s">
        <v>155</v>
      </c>
      <c r="F8" t="s">
        <v>158</v>
      </c>
    </row>
    <row r="9" spans="5:6" x14ac:dyDescent="0.25">
      <c r="E9" s="6" t="s">
        <v>155</v>
      </c>
      <c r="F9" t="s">
        <v>159</v>
      </c>
    </row>
    <row r="10" spans="5:6" x14ac:dyDescent="0.25">
      <c r="E10" s="6" t="s">
        <v>155</v>
      </c>
      <c r="F10" t="s">
        <v>160</v>
      </c>
    </row>
    <row r="11" spans="5:6" x14ac:dyDescent="0.25">
      <c r="E11" s="6" t="s">
        <v>155</v>
      </c>
      <c r="F11" t="s">
        <v>161</v>
      </c>
    </row>
    <row r="12" spans="5:6" x14ac:dyDescent="0.25">
      <c r="E12" s="6" t="s">
        <v>155</v>
      </c>
      <c r="F12" t="s">
        <v>162</v>
      </c>
    </row>
    <row r="13" spans="5:6" x14ac:dyDescent="0.25">
      <c r="E13" t="s">
        <v>163</v>
      </c>
      <c r="F13" t="s">
        <v>164</v>
      </c>
    </row>
    <row r="14" spans="5:6" x14ac:dyDescent="0.25">
      <c r="E14" t="s">
        <v>163</v>
      </c>
      <c r="F14" t="s">
        <v>165</v>
      </c>
    </row>
    <row r="15" spans="5:6" x14ac:dyDescent="0.25">
      <c r="E15" t="s">
        <v>163</v>
      </c>
      <c r="F15" t="s">
        <v>166</v>
      </c>
    </row>
    <row r="16" spans="5:6" x14ac:dyDescent="0.25">
      <c r="E16" t="s">
        <v>167</v>
      </c>
    </row>
  </sheetData>
  <mergeCells count="1">
    <mergeCell ref="E1:F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2"/>
  <sheetViews>
    <sheetView workbookViewId="0">
      <selection activeCell="D10" sqref="D10"/>
    </sheetView>
  </sheetViews>
  <sheetFormatPr defaultColWidth="12.6640625" defaultRowHeight="15.75" customHeight="1" x14ac:dyDescent="0.25"/>
  <cols>
    <col min="1" max="1" width="8.88671875" style="9" bestFit="1" customWidth="1"/>
    <col min="2" max="2" width="17.44140625" style="9" bestFit="1" customWidth="1"/>
    <col min="3" max="3" width="12" style="9" bestFit="1" customWidth="1"/>
    <col min="4" max="4" width="119.109375" style="9" bestFit="1" customWidth="1"/>
    <col min="5" max="5" width="18.6640625" style="9" bestFit="1" customWidth="1"/>
    <col min="6" max="6" width="9" style="9" bestFit="1" customWidth="1"/>
    <col min="7" max="7" width="8.109375" style="9" bestFit="1" customWidth="1"/>
    <col min="8" max="8" width="10.21875" style="9" bestFit="1" customWidth="1"/>
  </cols>
  <sheetData>
    <row r="1" spans="1:8" ht="13.2" x14ac:dyDescent="0.25">
      <c r="A1" s="7" t="s">
        <v>0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 customHeight="1" x14ac:dyDescent="0.25">
      <c r="A2" s="7" t="s">
        <v>11</v>
      </c>
      <c r="B2" s="10" t="s">
        <v>33</v>
      </c>
      <c r="C2" s="8">
        <f t="shared" ref="C2:C31" ca="1" si="0">RANDBETWEEN(1, 5)</f>
        <v>4</v>
      </c>
      <c r="D2" s="9" t="s">
        <v>106</v>
      </c>
      <c r="E2" s="7" t="s">
        <v>44</v>
      </c>
      <c r="F2" s="9" t="s">
        <v>110</v>
      </c>
      <c r="G2" s="9" t="s">
        <v>34</v>
      </c>
      <c r="H2" s="9" t="s">
        <v>109</v>
      </c>
    </row>
    <row r="3" spans="1:8" ht="13.2" x14ac:dyDescent="0.25">
      <c r="A3" s="7" t="s">
        <v>36</v>
      </c>
      <c r="B3" s="11" t="s">
        <v>37</v>
      </c>
      <c r="C3" s="8">
        <f t="shared" ca="1" si="0"/>
        <v>1</v>
      </c>
      <c r="D3" s="9" t="s">
        <v>105</v>
      </c>
      <c r="E3" s="7" t="s">
        <v>41</v>
      </c>
      <c r="F3" s="9" t="s">
        <v>113</v>
      </c>
      <c r="G3" s="9" t="s">
        <v>111</v>
      </c>
      <c r="H3" s="9" t="s">
        <v>109</v>
      </c>
    </row>
    <row r="4" spans="1:8" ht="13.2" x14ac:dyDescent="0.25">
      <c r="A4" s="7" t="s">
        <v>39</v>
      </c>
      <c r="B4" s="11" t="s">
        <v>40</v>
      </c>
      <c r="C4" s="8">
        <f t="shared" ca="1" si="0"/>
        <v>2</v>
      </c>
      <c r="D4" s="9" t="s">
        <v>104</v>
      </c>
      <c r="E4" s="7" t="s">
        <v>38</v>
      </c>
      <c r="F4" s="9" t="s">
        <v>108</v>
      </c>
      <c r="G4" s="9" t="s">
        <v>113</v>
      </c>
      <c r="H4" s="9" t="s">
        <v>111</v>
      </c>
    </row>
    <row r="5" spans="1:8" ht="13.2" x14ac:dyDescent="0.25">
      <c r="A5" s="7" t="s">
        <v>42</v>
      </c>
      <c r="B5" s="11" t="s">
        <v>43</v>
      </c>
      <c r="C5" s="8">
        <f t="shared" ca="1" si="0"/>
        <v>2</v>
      </c>
      <c r="D5" s="9" t="s">
        <v>106</v>
      </c>
      <c r="E5" s="7" t="s">
        <v>44</v>
      </c>
      <c r="F5" s="9" t="s">
        <v>34</v>
      </c>
      <c r="G5" s="9" t="s">
        <v>113</v>
      </c>
      <c r="H5" s="9" t="s">
        <v>113</v>
      </c>
    </row>
    <row r="6" spans="1:8" ht="13.2" x14ac:dyDescent="0.25">
      <c r="A6" s="7" t="s">
        <v>45</v>
      </c>
      <c r="B6" s="11" t="s">
        <v>46</v>
      </c>
      <c r="C6" s="8">
        <f t="shared" ca="1" si="0"/>
        <v>5</v>
      </c>
      <c r="D6" s="9" t="s">
        <v>106</v>
      </c>
      <c r="E6" s="7" t="s">
        <v>44</v>
      </c>
      <c r="F6" s="9" t="s">
        <v>111</v>
      </c>
      <c r="G6" s="9" t="s">
        <v>113</v>
      </c>
      <c r="H6" s="9" t="s">
        <v>108</v>
      </c>
    </row>
    <row r="7" spans="1:8" ht="13.2" x14ac:dyDescent="0.25">
      <c r="A7" s="7" t="s">
        <v>47</v>
      </c>
      <c r="B7" s="11" t="s">
        <v>48</v>
      </c>
      <c r="C7" s="8">
        <f t="shared" ca="1" si="0"/>
        <v>2</v>
      </c>
      <c r="D7" s="9" t="s">
        <v>104</v>
      </c>
      <c r="E7" s="7" t="s">
        <v>38</v>
      </c>
      <c r="F7" s="9" t="s">
        <v>109</v>
      </c>
      <c r="G7" s="9" t="s">
        <v>112</v>
      </c>
      <c r="H7" s="9" t="s">
        <v>34</v>
      </c>
    </row>
    <row r="8" spans="1:8" ht="13.2" x14ac:dyDescent="0.25">
      <c r="A8" s="7" t="s">
        <v>49</v>
      </c>
      <c r="B8" s="11" t="s">
        <v>50</v>
      </c>
      <c r="C8" s="8">
        <f t="shared" ca="1" si="0"/>
        <v>5</v>
      </c>
      <c r="D8" s="9" t="s">
        <v>104</v>
      </c>
      <c r="E8" s="7" t="s">
        <v>38</v>
      </c>
      <c r="F8" s="9" t="s">
        <v>108</v>
      </c>
      <c r="G8" s="9" t="s">
        <v>109</v>
      </c>
      <c r="H8" s="9" t="s">
        <v>112</v>
      </c>
    </row>
    <row r="9" spans="1:8" ht="13.2" x14ac:dyDescent="0.25">
      <c r="A9" s="7" t="s">
        <v>51</v>
      </c>
      <c r="B9" s="11" t="s">
        <v>52</v>
      </c>
      <c r="C9" s="8">
        <f t="shared" ca="1" si="0"/>
        <v>5</v>
      </c>
      <c r="D9" s="9" t="s">
        <v>106</v>
      </c>
      <c r="E9" s="7" t="s">
        <v>44</v>
      </c>
      <c r="F9" s="9" t="s">
        <v>113</v>
      </c>
      <c r="G9" s="9" t="s">
        <v>109</v>
      </c>
      <c r="H9" s="9" t="s">
        <v>112</v>
      </c>
    </row>
    <row r="10" spans="1:8" ht="13.2" x14ac:dyDescent="0.25">
      <c r="A10" s="7" t="s">
        <v>53</v>
      </c>
      <c r="B10" s="11" t="s">
        <v>54</v>
      </c>
      <c r="C10" s="8">
        <f t="shared" ca="1" si="0"/>
        <v>4</v>
      </c>
      <c r="D10" s="9" t="s">
        <v>107</v>
      </c>
      <c r="E10" s="7" t="s">
        <v>35</v>
      </c>
      <c r="F10" s="9" t="s">
        <v>34</v>
      </c>
      <c r="G10" s="9" t="s">
        <v>109</v>
      </c>
      <c r="H10" s="9" t="s">
        <v>112</v>
      </c>
    </row>
    <row r="11" spans="1:8" ht="13.2" x14ac:dyDescent="0.25">
      <c r="A11" s="7" t="s">
        <v>55</v>
      </c>
      <c r="B11" s="11" t="s">
        <v>56</v>
      </c>
      <c r="C11" s="8">
        <f t="shared" ca="1" si="0"/>
        <v>2</v>
      </c>
      <c r="D11" s="9" t="s">
        <v>104</v>
      </c>
      <c r="E11" s="7" t="s">
        <v>38</v>
      </c>
      <c r="F11" s="9" t="s">
        <v>112</v>
      </c>
      <c r="G11" s="9" t="s">
        <v>113</v>
      </c>
      <c r="H11" s="9" t="s">
        <v>34</v>
      </c>
    </row>
    <row r="12" spans="1:8" ht="13.2" x14ac:dyDescent="0.25">
      <c r="A12" s="7" t="s">
        <v>57</v>
      </c>
      <c r="B12" s="11" t="s">
        <v>58</v>
      </c>
      <c r="C12" s="8">
        <f t="shared" ca="1" si="0"/>
        <v>5</v>
      </c>
      <c r="D12" s="9" t="s">
        <v>107</v>
      </c>
      <c r="E12" s="7" t="s">
        <v>35</v>
      </c>
      <c r="F12" s="9" t="s">
        <v>112</v>
      </c>
      <c r="G12" s="9" t="s">
        <v>110</v>
      </c>
      <c r="H12" s="9" t="s">
        <v>110</v>
      </c>
    </row>
    <row r="13" spans="1:8" ht="13.2" x14ac:dyDescent="0.25">
      <c r="A13" s="7" t="s">
        <v>59</v>
      </c>
      <c r="B13" s="11" t="s">
        <v>60</v>
      </c>
      <c r="C13" s="8">
        <f t="shared" ca="1" si="0"/>
        <v>1</v>
      </c>
      <c r="D13" s="9" t="s">
        <v>106</v>
      </c>
      <c r="E13" s="7" t="s">
        <v>44</v>
      </c>
      <c r="F13" s="9" t="s">
        <v>111</v>
      </c>
      <c r="G13" s="9" t="s">
        <v>34</v>
      </c>
      <c r="H13" s="9" t="s">
        <v>108</v>
      </c>
    </row>
    <row r="14" spans="1:8" ht="13.2" x14ac:dyDescent="0.25">
      <c r="A14" s="7" t="s">
        <v>61</v>
      </c>
      <c r="B14" s="11" t="s">
        <v>62</v>
      </c>
      <c r="C14" s="8">
        <f t="shared" ca="1" si="0"/>
        <v>4</v>
      </c>
      <c r="D14" s="9" t="s">
        <v>107</v>
      </c>
      <c r="E14" s="7" t="s">
        <v>35</v>
      </c>
      <c r="F14" s="9" t="s">
        <v>34</v>
      </c>
      <c r="G14" s="9" t="s">
        <v>113</v>
      </c>
      <c r="H14" s="9" t="s">
        <v>113</v>
      </c>
    </row>
    <row r="15" spans="1:8" ht="13.2" x14ac:dyDescent="0.25">
      <c r="A15" s="7" t="s">
        <v>63</v>
      </c>
      <c r="B15" s="11" t="s">
        <v>64</v>
      </c>
      <c r="C15" s="8">
        <f t="shared" ca="1" si="0"/>
        <v>3</v>
      </c>
      <c r="D15" s="9" t="s">
        <v>107</v>
      </c>
      <c r="E15" s="7" t="s">
        <v>35</v>
      </c>
      <c r="F15" s="9" t="s">
        <v>111</v>
      </c>
      <c r="G15" s="9" t="s">
        <v>108</v>
      </c>
      <c r="H15" s="9" t="s">
        <v>34</v>
      </c>
    </row>
    <row r="16" spans="1:8" ht="13.2" x14ac:dyDescent="0.25">
      <c r="A16" s="7" t="s">
        <v>65</v>
      </c>
      <c r="B16" s="11" t="s">
        <v>66</v>
      </c>
      <c r="C16" s="8">
        <f t="shared" ca="1" si="0"/>
        <v>5</v>
      </c>
      <c r="D16" s="9" t="s">
        <v>104</v>
      </c>
      <c r="E16" s="7" t="s">
        <v>38</v>
      </c>
      <c r="F16" s="9" t="s">
        <v>110</v>
      </c>
      <c r="G16" s="9" t="s">
        <v>111</v>
      </c>
      <c r="H16" s="9" t="s">
        <v>110</v>
      </c>
    </row>
    <row r="17" spans="1:8" ht="13.2" x14ac:dyDescent="0.25">
      <c r="A17" s="7" t="s">
        <v>67</v>
      </c>
      <c r="B17" s="11" t="s">
        <v>68</v>
      </c>
      <c r="C17" s="8">
        <f t="shared" ca="1" si="0"/>
        <v>4</v>
      </c>
      <c r="D17" s="9" t="s">
        <v>107</v>
      </c>
      <c r="E17" s="7" t="s">
        <v>35</v>
      </c>
      <c r="F17" s="9" t="s">
        <v>112</v>
      </c>
      <c r="G17" s="9" t="s">
        <v>113</v>
      </c>
      <c r="H17" s="9" t="s">
        <v>111</v>
      </c>
    </row>
    <row r="18" spans="1:8" ht="13.2" x14ac:dyDescent="0.25">
      <c r="A18" s="7" t="s">
        <v>69</v>
      </c>
      <c r="B18" s="11" t="s">
        <v>70</v>
      </c>
      <c r="C18" s="8">
        <f t="shared" ca="1" si="0"/>
        <v>5</v>
      </c>
      <c r="D18" s="9" t="s">
        <v>106</v>
      </c>
      <c r="E18" s="7" t="s">
        <v>44</v>
      </c>
      <c r="F18" s="9" t="s">
        <v>34</v>
      </c>
      <c r="G18" s="9" t="s">
        <v>112</v>
      </c>
      <c r="H18" s="9" t="s">
        <v>108</v>
      </c>
    </row>
    <row r="19" spans="1:8" ht="13.2" x14ac:dyDescent="0.25">
      <c r="A19" s="7" t="s">
        <v>71</v>
      </c>
      <c r="B19" s="11" t="s">
        <v>72</v>
      </c>
      <c r="C19" s="8">
        <f t="shared" ca="1" si="0"/>
        <v>1</v>
      </c>
      <c r="D19" s="9" t="s">
        <v>106</v>
      </c>
      <c r="E19" s="7" t="s">
        <v>44</v>
      </c>
      <c r="F19" s="9" t="s">
        <v>109</v>
      </c>
      <c r="G19" s="9" t="s">
        <v>112</v>
      </c>
      <c r="H19" s="9" t="s">
        <v>34</v>
      </c>
    </row>
    <row r="20" spans="1:8" ht="13.2" x14ac:dyDescent="0.25">
      <c r="A20" s="7" t="s">
        <v>73</v>
      </c>
      <c r="B20" s="11" t="s">
        <v>74</v>
      </c>
      <c r="C20" s="8">
        <f t="shared" ca="1" si="0"/>
        <v>4</v>
      </c>
      <c r="D20" s="9" t="s">
        <v>104</v>
      </c>
      <c r="E20" s="7" t="s">
        <v>38</v>
      </c>
      <c r="F20" s="9" t="s">
        <v>112</v>
      </c>
      <c r="G20" s="9" t="s">
        <v>113</v>
      </c>
      <c r="H20" s="9" t="s">
        <v>110</v>
      </c>
    </row>
    <row r="21" spans="1:8" ht="13.2" x14ac:dyDescent="0.25">
      <c r="A21" s="7" t="s">
        <v>75</v>
      </c>
      <c r="B21" s="11" t="s">
        <v>76</v>
      </c>
      <c r="C21" s="8">
        <f t="shared" ca="1" si="0"/>
        <v>4</v>
      </c>
      <c r="D21" s="9" t="s">
        <v>107</v>
      </c>
      <c r="E21" s="7" t="s">
        <v>35</v>
      </c>
      <c r="F21" s="9" t="s">
        <v>110</v>
      </c>
      <c r="G21" s="9" t="s">
        <v>108</v>
      </c>
      <c r="H21" s="9" t="s">
        <v>112</v>
      </c>
    </row>
    <row r="22" spans="1:8" ht="13.2" x14ac:dyDescent="0.25">
      <c r="A22" s="7" t="s">
        <v>77</v>
      </c>
      <c r="B22" s="11" t="s">
        <v>78</v>
      </c>
      <c r="C22" s="8">
        <f t="shared" ca="1" si="0"/>
        <v>1</v>
      </c>
      <c r="D22" s="9" t="s">
        <v>106</v>
      </c>
      <c r="E22" s="7" t="s">
        <v>44</v>
      </c>
      <c r="F22" s="9" t="s">
        <v>113</v>
      </c>
      <c r="G22" s="9" t="s">
        <v>110</v>
      </c>
      <c r="H22" s="9" t="s">
        <v>108</v>
      </c>
    </row>
    <row r="23" spans="1:8" ht="13.2" x14ac:dyDescent="0.25">
      <c r="A23" s="7" t="s">
        <v>79</v>
      </c>
      <c r="B23" s="11" t="s">
        <v>80</v>
      </c>
      <c r="C23" s="8">
        <f t="shared" ca="1" si="0"/>
        <v>3</v>
      </c>
      <c r="D23" s="9" t="s">
        <v>107</v>
      </c>
      <c r="E23" s="7" t="s">
        <v>35</v>
      </c>
      <c r="F23" s="9" t="s">
        <v>34</v>
      </c>
      <c r="G23" s="9" t="s">
        <v>113</v>
      </c>
      <c r="H23" s="9" t="s">
        <v>113</v>
      </c>
    </row>
    <row r="24" spans="1:8" ht="13.2" x14ac:dyDescent="0.25">
      <c r="A24" s="7" t="s">
        <v>81</v>
      </c>
      <c r="B24" s="11" t="s">
        <v>82</v>
      </c>
      <c r="C24" s="8">
        <f t="shared" ca="1" si="0"/>
        <v>4</v>
      </c>
      <c r="D24" s="9" t="s">
        <v>105</v>
      </c>
      <c r="E24" s="7" t="s">
        <v>41</v>
      </c>
      <c r="F24" s="9" t="s">
        <v>34</v>
      </c>
      <c r="G24" s="9" t="s">
        <v>109</v>
      </c>
      <c r="H24" s="9" t="s">
        <v>112</v>
      </c>
    </row>
    <row r="25" spans="1:8" ht="13.2" x14ac:dyDescent="0.25">
      <c r="A25" s="7" t="s">
        <v>83</v>
      </c>
      <c r="B25" s="11" t="s">
        <v>84</v>
      </c>
      <c r="C25" s="8">
        <f t="shared" ca="1" si="0"/>
        <v>2</v>
      </c>
      <c r="D25" s="9" t="s">
        <v>104</v>
      </c>
      <c r="E25" s="7" t="s">
        <v>38</v>
      </c>
      <c r="F25" s="9" t="s">
        <v>113</v>
      </c>
      <c r="G25" s="9" t="s">
        <v>111</v>
      </c>
      <c r="H25" s="9" t="s">
        <v>112</v>
      </c>
    </row>
    <row r="26" spans="1:8" ht="13.2" x14ac:dyDescent="0.25">
      <c r="A26" s="7" t="s">
        <v>85</v>
      </c>
      <c r="B26" s="11" t="s">
        <v>86</v>
      </c>
      <c r="C26" s="8">
        <f t="shared" ca="1" si="0"/>
        <v>5</v>
      </c>
      <c r="D26" s="9" t="s">
        <v>106</v>
      </c>
      <c r="E26" s="7" t="s">
        <v>44</v>
      </c>
      <c r="F26" s="9" t="s">
        <v>110</v>
      </c>
      <c r="G26" s="9" t="s">
        <v>109</v>
      </c>
      <c r="H26" s="9" t="s">
        <v>112</v>
      </c>
    </row>
    <row r="27" spans="1:8" ht="13.2" x14ac:dyDescent="0.25">
      <c r="A27" s="7" t="s">
        <v>87</v>
      </c>
      <c r="B27" s="11" t="s">
        <v>88</v>
      </c>
      <c r="C27" s="8">
        <f t="shared" ca="1" si="0"/>
        <v>3</v>
      </c>
      <c r="D27" s="9" t="s">
        <v>107</v>
      </c>
      <c r="E27" s="7" t="s">
        <v>35</v>
      </c>
      <c r="F27" s="9" t="s">
        <v>34</v>
      </c>
      <c r="G27" s="9" t="s">
        <v>111</v>
      </c>
      <c r="H27" s="9" t="s">
        <v>110</v>
      </c>
    </row>
    <row r="28" spans="1:8" ht="13.2" x14ac:dyDescent="0.25">
      <c r="A28" s="7" t="s">
        <v>89</v>
      </c>
      <c r="B28" s="11" t="s">
        <v>90</v>
      </c>
      <c r="C28" s="8">
        <f t="shared" ca="1" si="0"/>
        <v>3</v>
      </c>
      <c r="D28" s="9" t="s">
        <v>107</v>
      </c>
      <c r="E28" s="7" t="s">
        <v>35</v>
      </c>
      <c r="F28" s="9" t="s">
        <v>113</v>
      </c>
      <c r="G28" s="9" t="s">
        <v>112</v>
      </c>
      <c r="H28" s="9" t="s">
        <v>112</v>
      </c>
    </row>
    <row r="29" spans="1:8" ht="13.2" x14ac:dyDescent="0.25">
      <c r="A29" s="7" t="s">
        <v>91</v>
      </c>
      <c r="B29" s="11" t="s">
        <v>92</v>
      </c>
      <c r="C29" s="8">
        <f t="shared" ca="1" si="0"/>
        <v>3</v>
      </c>
      <c r="D29" s="9" t="s">
        <v>106</v>
      </c>
      <c r="E29" s="7" t="s">
        <v>44</v>
      </c>
      <c r="F29" s="9" t="s">
        <v>110</v>
      </c>
      <c r="G29" s="9" t="s">
        <v>112</v>
      </c>
      <c r="H29" s="9" t="s">
        <v>110</v>
      </c>
    </row>
    <row r="30" spans="1:8" ht="13.2" x14ac:dyDescent="0.25">
      <c r="A30" s="7" t="s">
        <v>93</v>
      </c>
      <c r="B30" s="11" t="s">
        <v>94</v>
      </c>
      <c r="C30" s="8">
        <f t="shared" ca="1" si="0"/>
        <v>3</v>
      </c>
      <c r="D30" s="9" t="s">
        <v>107</v>
      </c>
      <c r="E30" s="7" t="s">
        <v>35</v>
      </c>
      <c r="F30" s="9" t="s">
        <v>113</v>
      </c>
      <c r="G30" s="9" t="s">
        <v>110</v>
      </c>
      <c r="H30" s="9" t="s">
        <v>113</v>
      </c>
    </row>
    <row r="31" spans="1:8" ht="13.2" x14ac:dyDescent="0.25">
      <c r="A31" s="7" t="s">
        <v>95</v>
      </c>
      <c r="B31" s="11" t="s">
        <v>96</v>
      </c>
      <c r="C31" s="8">
        <f t="shared" ca="1" si="0"/>
        <v>3</v>
      </c>
      <c r="D31" s="9" t="s">
        <v>105</v>
      </c>
      <c r="E31" s="7" t="s">
        <v>41</v>
      </c>
      <c r="F31" s="9" t="s">
        <v>34</v>
      </c>
      <c r="G31" s="9" t="s">
        <v>34</v>
      </c>
      <c r="H31" s="9" t="s">
        <v>108</v>
      </c>
    </row>
    <row r="32" spans="1:8" ht="15" x14ac:dyDescent="0.25">
      <c r="B32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"/>
  <sheetViews>
    <sheetView workbookViewId="0"/>
  </sheetViews>
  <sheetFormatPr defaultColWidth="12.6640625" defaultRowHeight="15.75" customHeight="1" x14ac:dyDescent="0.25"/>
  <cols>
    <col min="8" max="8" width="79.21875" customWidth="1"/>
  </cols>
  <sheetData>
    <row r="1" spans="1:10" x14ac:dyDescent="0.25">
      <c r="A1" s="1" t="s">
        <v>0</v>
      </c>
      <c r="B1" s="1" t="s">
        <v>16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25">
      <c r="A2" s="1">
        <v>1011</v>
      </c>
      <c r="B2" s="1">
        <v>1</v>
      </c>
      <c r="C2" s="2">
        <v>45427</v>
      </c>
      <c r="D2" s="1">
        <v>1000</v>
      </c>
      <c r="E2" s="1">
        <v>1</v>
      </c>
      <c r="F2" s="1" t="s">
        <v>24</v>
      </c>
      <c r="G2" s="1" t="s">
        <v>14</v>
      </c>
      <c r="H2" s="3" t="s">
        <v>25</v>
      </c>
      <c r="I2" s="3" t="s">
        <v>11</v>
      </c>
      <c r="J2" s="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"/>
  <sheetViews>
    <sheetView workbookViewId="0"/>
  </sheetViews>
  <sheetFormatPr defaultColWidth="12.6640625" defaultRowHeight="15.75" customHeight="1" x14ac:dyDescent="0.25"/>
  <cols>
    <col min="5" max="5" width="14.44140625" customWidth="1"/>
    <col min="13" max="13" width="15" customWidth="1"/>
  </cols>
  <sheetData>
    <row r="1" spans="1:13" x14ac:dyDescent="0.25">
      <c r="A1" s="1" t="s">
        <v>97</v>
      </c>
      <c r="B1" s="1" t="s">
        <v>1</v>
      </c>
      <c r="C1" s="1" t="s">
        <v>2</v>
      </c>
      <c r="D1" s="1" t="s">
        <v>3</v>
      </c>
      <c r="E1" s="1" t="s">
        <v>98</v>
      </c>
      <c r="F1" s="1" t="s">
        <v>99</v>
      </c>
      <c r="G1" s="1" t="s">
        <v>100</v>
      </c>
      <c r="H1" s="1" t="s">
        <v>7</v>
      </c>
      <c r="I1" s="1" t="s">
        <v>8</v>
      </c>
      <c r="J1" s="1" t="s">
        <v>101</v>
      </c>
      <c r="K1" s="1" t="s">
        <v>20</v>
      </c>
      <c r="L1" s="1" t="s">
        <v>102</v>
      </c>
      <c r="M1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FypGroup</vt:lpstr>
      <vt:lpstr>Sheet1</vt:lpstr>
      <vt:lpstr>Supervisor</vt:lpstr>
      <vt:lpstr>Submission</vt:lpstr>
      <vt:lpstr>Repository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Ayushmann Kukreja</cp:lastModifiedBy>
  <dcterms:modified xsi:type="dcterms:W3CDTF">2024-05-30T17:27:28Z</dcterms:modified>
</cp:coreProperties>
</file>