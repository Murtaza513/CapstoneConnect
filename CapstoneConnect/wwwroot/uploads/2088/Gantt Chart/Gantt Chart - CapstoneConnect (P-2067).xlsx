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ayush\OneDrive\Documents\University Files\Semester 7\FINAL YEAR PROJECT\Mid Evaluation Docs\Mid Evaluation Docs\"/>
    </mc:Choice>
  </mc:AlternateContent>
  <bookViews>
    <workbookView xWindow="0" yWindow="0" windowWidth="23040" windowHeight="8916"/>
  </bookViews>
  <sheets>
    <sheet name="GanttChart" sheetId="9" r:id="rId1"/>
  </sheets>
  <definedNames>
    <definedName name="prevWBS" localSheetId="0">GanttChart!$A1048576</definedName>
    <definedName name="_xlnm.Print_Area" localSheetId="0">GanttChart!$A$1:$BN$43</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62913"/>
</workbook>
</file>

<file path=xl/calcChain.xml><?xml version="1.0" encoding="utf-8"?>
<calcChain xmlns="http://schemas.openxmlformats.org/spreadsheetml/2006/main">
  <c r="G18" i="9" l="1"/>
  <c r="I18" i="9" s="1"/>
  <c r="G31" i="9" l="1"/>
  <c r="G24" i="9"/>
  <c r="I24" i="9" s="1"/>
  <c r="A24" i="9"/>
  <c r="A25" i="9" s="1"/>
  <c r="A26" i="9" s="1"/>
  <c r="G23" i="9"/>
  <c r="I23" i="9" s="1"/>
  <c r="G22" i="9"/>
  <c r="I22" i="9" s="1"/>
  <c r="G21" i="9"/>
  <c r="I21" i="9" s="1"/>
  <c r="G20" i="9"/>
  <c r="I20" i="9" s="1"/>
  <c r="G19" i="9"/>
  <c r="I19" i="9" s="1"/>
  <c r="G25" i="9"/>
  <c r="I25" i="9" s="1"/>
  <c r="G26" i="9"/>
  <c r="I26" i="9" s="1"/>
  <c r="G42" i="9" l="1"/>
  <c r="I42" i="9" s="1"/>
  <c r="G41" i="9"/>
  <c r="I41" i="9" s="1"/>
  <c r="G40" i="9"/>
  <c r="I40" i="9" s="1"/>
  <c r="G39" i="9"/>
  <c r="I39" i="9" s="1"/>
  <c r="G37" i="9"/>
  <c r="I37" i="9" s="1"/>
  <c r="G35" i="9"/>
  <c r="I35" i="9" s="1"/>
  <c r="G36" i="9"/>
  <c r="I36" i="9" s="1"/>
  <c r="G34" i="9"/>
  <c r="I34" i="9" s="1"/>
  <c r="G33" i="9"/>
  <c r="I33" i="9" s="1"/>
  <c r="A38" i="9"/>
  <c r="A43" i="9" s="1"/>
  <c r="G30" i="9"/>
  <c r="I30" i="9" s="1"/>
  <c r="G29" i="9"/>
  <c r="I29" i="9" s="1"/>
  <c r="G28" i="9"/>
  <c r="I28" i="9" s="1"/>
  <c r="A31" i="9"/>
  <c r="I31" i="9" l="1"/>
  <c r="G14" i="9"/>
  <c r="G27" i="9"/>
  <c r="I27" i="9" s="1"/>
  <c r="G16" i="9"/>
  <c r="I16" i="9" s="1"/>
  <c r="G11" i="9"/>
  <c r="I11" i="9" s="1"/>
  <c r="G10" i="9"/>
  <c r="I10" i="9" s="1"/>
  <c r="G17" i="9" l="1"/>
  <c r="G12" i="9"/>
  <c r="I12" i="9" s="1"/>
  <c r="G13" i="9"/>
  <c r="G15" i="9"/>
  <c r="G9" i="9"/>
  <c r="I9" i="9" s="1"/>
  <c r="G32" i="9"/>
  <c r="G38" i="9"/>
  <c r="G43" i="9"/>
  <c r="I32" i="9" l="1"/>
  <c r="I38" i="9"/>
  <c r="I43" i="9"/>
  <c r="G8" i="9" l="1"/>
  <c r="I8" i="9" s="1"/>
  <c r="K6" i="9" l="1"/>
  <c r="I14" i="9" l="1"/>
  <c r="K7" i="9"/>
  <c r="K4" i="9"/>
  <c r="A8" i="9"/>
  <c r="I15" i="9" l="1"/>
  <c r="I17" i="9" l="1"/>
  <c r="L6" i="9" l="1"/>
  <c r="M6" i="9" l="1"/>
  <c r="N6" i="9" l="1"/>
  <c r="O6" i="9" l="1"/>
  <c r="K5" i="9"/>
  <c r="I13" i="9" l="1"/>
  <c r="P6" i="9"/>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K7" i="9"/>
  <c r="BL7" i="9" l="1"/>
  <c r="BM7" i="9" l="1"/>
  <c r="BN7" i="9" l="1"/>
  <c r="A9" i="9" l="1"/>
  <c r="A12" i="9" s="1"/>
  <c r="A13" i="9" s="1"/>
  <c r="A14" i="9" l="1"/>
  <c r="A15" i="9" s="1"/>
  <c r="A16" i="9" l="1"/>
  <c r="A17" i="9" s="1"/>
  <c r="A27" i="9" l="1"/>
  <c r="A32" i="9" s="1"/>
  <c r="A19" i="9"/>
  <c r="A20" i="9" s="1"/>
</calcChain>
</file>

<file path=xl/comments1.xml><?xml version="1.0" encoding="utf-8"?>
<comments xmlns="http://schemas.openxmlformats.org/spreadsheetml/2006/main">
  <authors>
    <author>Vertex42</author>
    <author>Vertex42.com Templates</author>
  </authors>
  <commentList>
    <comment ref="A7" authorId="0" shapeId="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text>
        <r>
          <rPr>
            <b/>
            <sz val="9"/>
            <color indexed="81"/>
            <rFont val="Tahoma"/>
            <family val="2"/>
          </rPr>
          <t>Task Lead</t>
        </r>
        <r>
          <rPr>
            <sz val="9"/>
            <color indexed="81"/>
            <rFont val="Tahoma"/>
            <family val="2"/>
          </rPr>
          <t xml:space="preserve">
Enter the name of the Task Lead in this column.</t>
        </r>
      </text>
    </comment>
    <comment ref="D7" authorId="0" shapeId="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0" shapeId="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G7" authorId="1" shapeId="0">
      <text>
        <r>
          <rPr>
            <b/>
            <sz val="9"/>
            <color indexed="81"/>
            <rFont val="Tahoma"/>
            <family val="2"/>
          </rPr>
          <t>End Date:</t>
        </r>
        <r>
          <rPr>
            <sz val="9"/>
            <color indexed="81"/>
            <rFont val="Tahoma"/>
            <family val="2"/>
          </rPr>
          <t xml:space="preserve">
The End Date is calculated based on the Start Date and the Calendar Days columns.</t>
        </r>
      </text>
    </comment>
    <comment ref="H7" authorId="0" shapeId="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<sst xmlns="http://schemas.openxmlformats.org/spreadsheetml/2006/main" count="101" uniqueCount="73">
  <si>
    <t>WBS</t>
  </si>
  <si>
    <t>TASK</t>
  </si>
  <si>
    <t>START</t>
  </si>
  <si>
    <t>END</t>
  </si>
  <si>
    <t>DAYS</t>
  </si>
  <si>
    <t>% DONE</t>
  </si>
  <si>
    <t>WORK DAYS</t>
  </si>
  <si>
    <t>PREDECESSOR</t>
  </si>
  <si>
    <t xml:space="preserve">Display Week </t>
  </si>
  <si>
    <t xml:space="preserve">Project Start Date: </t>
  </si>
  <si>
    <t xml:space="preserve">Team Members: </t>
  </si>
  <si>
    <t>FYP-I</t>
  </si>
  <si>
    <t>FYP-II</t>
  </si>
  <si>
    <t>Assigned To</t>
  </si>
  <si>
    <t>DHA Suffa University - CS FYP Project-I- Plan</t>
  </si>
  <si>
    <t>R&amp;D</t>
  </si>
  <si>
    <t>Requirement Gathering</t>
  </si>
  <si>
    <t>Ayushmann, Mehdi</t>
  </si>
  <si>
    <t>Analysis and Design</t>
  </si>
  <si>
    <t>Project Abstract</t>
  </si>
  <si>
    <t>Project Proposal</t>
  </si>
  <si>
    <t>Project Defence Preparation</t>
  </si>
  <si>
    <t>Database</t>
  </si>
  <si>
    <t>User Interface</t>
  </si>
  <si>
    <t>Back End</t>
  </si>
  <si>
    <t>Abdul Rehman Khan</t>
  </si>
  <si>
    <t>Testing</t>
  </si>
  <si>
    <t>Prototype - 1</t>
  </si>
  <si>
    <t>Ayushmann Kukreja, Murtaza Mehdi, Abdul Rehman Khan</t>
  </si>
  <si>
    <t>P-2067: CapstoneConnect</t>
  </si>
  <si>
    <t>Prototype - 2</t>
  </si>
  <si>
    <t>Prototype - 3</t>
  </si>
  <si>
    <t>2.1.1.1</t>
  </si>
  <si>
    <t>2.1.1.2</t>
  </si>
  <si>
    <t>2.1.1.3</t>
  </si>
  <si>
    <t>UI For Supervisiors</t>
  </si>
  <si>
    <t>UI For Students</t>
  </si>
  <si>
    <t>UI For Administrators</t>
  </si>
  <si>
    <t>User Interface -FIGMA</t>
  </si>
  <si>
    <t>Tables Creation</t>
  </si>
  <si>
    <t>Relationships Between Tables</t>
  </si>
  <si>
    <t>Optimize DB using DBMS Concepts (Normalization etc)</t>
  </si>
  <si>
    <t>2.1.5.1</t>
  </si>
  <si>
    <t>2.1.5.2</t>
  </si>
  <si>
    <t>2.1.5.3</t>
  </si>
  <si>
    <t>2.1.5.4</t>
  </si>
  <si>
    <t>Integration with UI</t>
  </si>
  <si>
    <t>Integration with DB</t>
  </si>
  <si>
    <t>Optimizing Backend</t>
  </si>
  <si>
    <t>API Development</t>
  </si>
  <si>
    <t>Ayushmann</t>
  </si>
  <si>
    <t>Mehdi</t>
  </si>
  <si>
    <t>Error Handling</t>
  </si>
  <si>
    <t>2.1.6.1</t>
  </si>
  <si>
    <t>2.1.6.2</t>
  </si>
  <si>
    <t>2.1.6.3</t>
  </si>
  <si>
    <t>2.1.6.4</t>
  </si>
  <si>
    <t>Unit Testing</t>
  </si>
  <si>
    <t>Functional Testing</t>
  </si>
  <si>
    <t>Integration Testing</t>
  </si>
  <si>
    <t>Ayushmann, Abdul Rehman</t>
  </si>
  <si>
    <t>Automation</t>
  </si>
  <si>
    <t>FYP - FEVERYONE 23</t>
  </si>
  <si>
    <t>EVERYONE</t>
  </si>
  <si>
    <t>Mehdi, Abdul Rehman</t>
  </si>
  <si>
    <t>Development and Implementation Phase-1</t>
  </si>
  <si>
    <t>Development and Implementation Phase-2</t>
  </si>
  <si>
    <t>3.1.1.1</t>
  </si>
  <si>
    <t>3.1.1.2</t>
  </si>
  <si>
    <t>3.1.1.3</t>
  </si>
  <si>
    <t>SRS + SDS</t>
  </si>
  <si>
    <t>Back End Framework</t>
  </si>
  <si>
    <t>Database Approach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</si>
</sst>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m/d/yyyy\ \(dddd\)"/>
    <numFmt numFmtId="165" formatCode="ddd\ m/dd/yy"/>
    <numFmt numFmtId="166" formatCode="d"/>
    <numFmt numFmtId="167" formatCode="d\ mmm\ yyyy"/>
  </numFmts>
  <fonts count="45" x14ac:knownFonts="1">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i/>
      <sz val="8"/>
      <color theme="1" tint="0.34998626667073579"/>
      <name val="Arial"/>
      <family val="2"/>
    </font>
    <font>
      <i/>
      <u/>
      <sz val="8"/>
      <color theme="1" tint="0.34998626667073579"/>
      <name val="Arial"/>
      <family val="2"/>
    </font>
  </fonts>
  <fills count="26">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0"/>
        <bgColor indexed="64"/>
      </patternFill>
    </fill>
    <fill>
      <patternFill patternType="solid">
        <fgColor theme="5" tint="0.79998168889431442"/>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
      <left/>
      <right/>
      <top/>
      <bottom style="thin">
        <color theme="0" tint="-0.34998626667073579"/>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2" fillId="17" borderId="1" applyNumberFormat="0" applyAlignment="0" applyProtection="0"/>
    <xf numFmtId="0" fontId="13" fillId="18" borderId="2" applyNumberFormat="0" applyAlignment="0" applyProtection="0"/>
    <xf numFmtId="0" fontId="14" fillId="0" borderId="0" applyNumberFormat="0" applyFill="0" applyBorder="0" applyAlignment="0" applyProtection="0"/>
    <xf numFmtId="0" fontId="15" fillId="19"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2" fillId="0" borderId="0" applyNumberFormat="0" applyFill="0" applyBorder="0" applyAlignment="0" applyProtection="0">
      <alignment vertical="top"/>
      <protection locked="0"/>
    </xf>
    <xf numFmtId="0" fontId="19" fillId="11" borderId="1" applyNumberFormat="0" applyAlignment="0" applyProtection="0"/>
    <xf numFmtId="0" fontId="20" fillId="0" borderId="6" applyNumberFormat="0" applyFill="0" applyAlignment="0" applyProtection="0"/>
    <xf numFmtId="0" fontId="21" fillId="5" borderId="0" applyNumberFormat="0" applyBorder="0" applyAlignment="0" applyProtection="0"/>
    <xf numFmtId="0" fontId="5" fillId="5" borderId="7" applyNumberFormat="0" applyFont="0" applyAlignment="0" applyProtection="0"/>
    <xf numFmtId="0" fontId="22" fillId="17" borderId="8" applyNumberFormat="0" applyAlignment="0" applyProtection="0"/>
    <xf numFmtId="9" fontId="1" fillId="0" borderId="0" applyFon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cellStyleXfs>
  <cellXfs count="68">
    <xf numFmtId="0" fontId="0" fillId="0" borderId="0" xfId="0"/>
    <xf numFmtId="0" fontId="0" fillId="20" borderId="0" xfId="0" applyFill="1"/>
    <xf numFmtId="0" fontId="7" fillId="0" borderId="0" xfId="0" applyFont="1" applyProtection="1">
      <protection locked="0"/>
    </xf>
    <xf numFmtId="0" fontId="2" fillId="0" borderId="0" xfId="34" applyAlignment="1" applyProtection="1">
      <alignment horizontal="left"/>
    </xf>
    <xf numFmtId="0" fontId="4" fillId="20" borderId="0" xfId="34" applyNumberFormat="1" applyFont="1" applyFill="1" applyAlignment="1" applyProtection="1">
      <alignment horizontal="right"/>
      <protection locked="0"/>
    </xf>
    <xf numFmtId="0" fontId="6" fillId="0" borderId="0" xfId="0" applyFont="1" applyAlignment="1" applyProtection="1">
      <alignment vertical="center"/>
      <protection locked="0"/>
    </xf>
    <xf numFmtId="0" fontId="1" fillId="0" borderId="0" xfId="0" applyFont="1"/>
    <xf numFmtId="0" fontId="31" fillId="0" borderId="0" xfId="0" applyFont="1"/>
    <xf numFmtId="0" fontId="32" fillId="0" borderId="0" xfId="0" applyFont="1" applyAlignment="1" applyProtection="1">
      <alignment vertical="center"/>
      <protection locked="0"/>
    </xf>
    <xf numFmtId="0" fontId="34" fillId="21" borderId="10" xfId="0" applyFont="1" applyFill="1" applyBorder="1" applyAlignment="1">
      <alignment horizontal="left" vertical="center"/>
    </xf>
    <xf numFmtId="0" fontId="34" fillId="21" borderId="10" xfId="0" applyFont="1" applyFill="1" applyBorder="1" applyAlignment="1">
      <alignment vertical="center"/>
    </xf>
    <xf numFmtId="0" fontId="30" fillId="21" borderId="10" xfId="0" applyFont="1" applyFill="1" applyBorder="1" applyAlignment="1">
      <alignment vertical="center"/>
    </xf>
    <xf numFmtId="0" fontId="30" fillId="21" borderId="10" xfId="0" applyFont="1" applyFill="1" applyBorder="1" applyAlignment="1">
      <alignment horizontal="center" vertical="center"/>
    </xf>
    <xf numFmtId="1" fontId="30" fillId="21" borderId="10" xfId="40" applyNumberFormat="1" applyFont="1" applyFill="1" applyBorder="1" applyAlignment="1" applyProtection="1">
      <alignment horizontal="center" vertical="center"/>
    </xf>
    <xf numFmtId="9" fontId="30" fillId="21" borderId="10" xfId="40" applyFont="1" applyFill="1" applyBorder="1" applyAlignment="1" applyProtection="1">
      <alignment horizontal="center" vertical="center"/>
    </xf>
    <xf numFmtId="1" fontId="30" fillId="21" borderId="10" xfId="0" applyNumberFormat="1" applyFont="1" applyFill="1" applyBorder="1" applyAlignment="1">
      <alignment horizontal="center" vertical="center"/>
    </xf>
    <xf numFmtId="0" fontId="30" fillId="0" borderId="10" xfId="0" applyFont="1" applyBorder="1" applyAlignment="1">
      <alignment horizontal="left" vertical="center"/>
    </xf>
    <xf numFmtId="0" fontId="30" fillId="0" borderId="10" xfId="0" applyFont="1" applyBorder="1" applyAlignment="1">
      <alignment vertical="center"/>
    </xf>
    <xf numFmtId="1" fontId="35" fillId="0" borderId="11" xfId="0" applyNumberFormat="1" applyFont="1" applyBorder="1" applyAlignment="1">
      <alignment horizontal="center" vertical="center"/>
    </xf>
    <xf numFmtId="166" fontId="3" fillId="0" borderId="12" xfId="0" applyNumberFormat="1" applyFont="1" applyBorder="1" applyAlignment="1">
      <alignment horizontal="center" vertical="center" shrinkToFit="1"/>
    </xf>
    <xf numFmtId="0" fontId="34" fillId="21" borderId="13" xfId="0" applyFont="1" applyFill="1" applyBorder="1" applyAlignment="1">
      <alignment horizontal="left" vertical="center"/>
    </xf>
    <xf numFmtId="0" fontId="34" fillId="21" borderId="13" xfId="0" applyFont="1" applyFill="1" applyBorder="1" applyAlignment="1">
      <alignment vertical="center"/>
    </xf>
    <xf numFmtId="0" fontId="30" fillId="21" borderId="13" xfId="0" applyFont="1" applyFill="1" applyBorder="1" applyAlignment="1">
      <alignment vertical="center"/>
    </xf>
    <xf numFmtId="0" fontId="30" fillId="21" borderId="13" xfId="0" applyFont="1" applyFill="1" applyBorder="1" applyAlignment="1">
      <alignment horizontal="center" vertical="center"/>
    </xf>
    <xf numFmtId="165" fontId="30" fillId="21" borderId="13" xfId="0" applyNumberFormat="1" applyFont="1" applyFill="1" applyBorder="1" applyAlignment="1">
      <alignment horizontal="right" vertical="center"/>
    </xf>
    <xf numFmtId="1" fontId="30" fillId="21" borderId="13" xfId="40" applyNumberFormat="1" applyFont="1" applyFill="1" applyBorder="1" applyAlignment="1" applyProtection="1">
      <alignment horizontal="center" vertical="center"/>
    </xf>
    <xf numFmtId="9" fontId="30" fillId="21" borderId="13" xfId="40" applyFont="1" applyFill="1" applyBorder="1" applyAlignment="1" applyProtection="1">
      <alignment horizontal="center" vertical="center"/>
    </xf>
    <xf numFmtId="1" fontId="30" fillId="21" borderId="13" xfId="0" applyNumberFormat="1" applyFont="1" applyFill="1" applyBorder="1" applyAlignment="1">
      <alignment horizontal="center" vertical="center"/>
    </xf>
    <xf numFmtId="166" fontId="3" fillId="0" borderId="14" xfId="0" applyNumberFormat="1" applyFont="1" applyBorder="1" applyAlignment="1">
      <alignment horizontal="center" vertical="center" shrinkToFit="1"/>
    </xf>
    <xf numFmtId="166" fontId="3" fillId="0" borderId="15" xfId="0" applyNumberFormat="1" applyFont="1" applyBorder="1" applyAlignment="1">
      <alignment horizontal="center" vertical="center" shrinkToFit="1"/>
    </xf>
    <xf numFmtId="1" fontId="37" fillId="21" borderId="13" xfId="0" applyNumberFormat="1" applyFont="1" applyFill="1" applyBorder="1" applyAlignment="1">
      <alignment horizontal="center" vertical="center"/>
    </xf>
    <xf numFmtId="1" fontId="38" fillId="0" borderId="11" xfId="0" applyNumberFormat="1" applyFont="1" applyBorder="1" applyAlignment="1">
      <alignment horizontal="center" vertical="center"/>
    </xf>
    <xf numFmtId="1" fontId="37" fillId="21" borderId="10" xfId="0" applyNumberFormat="1" applyFont="1" applyFill="1" applyBorder="1" applyAlignment="1">
      <alignment horizontal="center" vertical="center"/>
    </xf>
    <xf numFmtId="165" fontId="35" fillId="22" borderId="11" xfId="0" applyNumberFormat="1" applyFont="1" applyFill="1" applyBorder="1" applyAlignment="1">
      <alignment horizontal="center" vertical="center"/>
    </xf>
    <xf numFmtId="165" fontId="30" fillId="21" borderId="10" xfId="0" applyNumberFormat="1" applyFont="1" applyFill="1" applyBorder="1" applyAlignment="1">
      <alignment horizontal="center" vertical="center"/>
    </xf>
    <xf numFmtId="0" fontId="30" fillId="21" borderId="13" xfId="0" applyFont="1" applyFill="1" applyBorder="1" applyAlignment="1">
      <alignment horizontal="left" vertical="center"/>
    </xf>
    <xf numFmtId="9" fontId="30" fillId="0" borderId="10" xfId="0" applyNumberFormat="1" applyFont="1" applyBorder="1" applyAlignment="1">
      <alignment horizontal="left" vertical="center"/>
    </xf>
    <xf numFmtId="0" fontId="30" fillId="21" borderId="10" xfId="0" applyFont="1" applyFill="1" applyBorder="1" applyAlignment="1">
      <alignment horizontal="left" vertical="center"/>
    </xf>
    <xf numFmtId="0" fontId="39" fillId="0" borderId="0" xfId="0" applyFont="1"/>
    <xf numFmtId="0" fontId="39" fillId="0" borderId="0" xfId="0" applyFont="1" applyAlignment="1">
      <alignment horizontal="right" vertical="center"/>
    </xf>
    <xf numFmtId="165" fontId="30" fillId="21" borderId="13" xfId="0" applyNumberFormat="1" applyFont="1" applyFill="1" applyBorder="1" applyAlignment="1">
      <alignment horizontal="center" vertical="center"/>
    </xf>
    <xf numFmtId="0" fontId="40" fillId="0" borderId="16" xfId="0" applyFont="1" applyBorder="1" applyAlignment="1">
      <alignment horizontal="left" vertical="center"/>
    </xf>
    <xf numFmtId="0" fontId="40" fillId="0" borderId="16" xfId="0" applyFont="1" applyBorder="1" applyAlignment="1">
      <alignment horizontal="center" vertical="center" wrapText="1"/>
    </xf>
    <xf numFmtId="0" fontId="41" fillId="0" borderId="16" xfId="0" applyFont="1" applyBorder="1" applyAlignment="1">
      <alignment horizontal="center" vertical="center" wrapText="1"/>
    </xf>
    <xf numFmtId="0" fontId="40" fillId="0" borderId="16" xfId="0" applyFont="1" applyBorder="1" applyAlignment="1">
      <alignment horizontal="center" vertical="center"/>
    </xf>
    <xf numFmtId="0" fontId="30" fillId="0" borderId="17" xfId="0" applyFont="1" applyBorder="1" applyAlignment="1">
      <alignment horizontal="center" vertical="center" shrinkToFit="1"/>
    </xf>
    <xf numFmtId="0" fontId="30" fillId="0" borderId="18" xfId="0" applyFont="1" applyBorder="1" applyAlignment="1">
      <alignment horizontal="center" vertical="center" shrinkToFit="1"/>
    </xf>
    <xf numFmtId="0" fontId="30" fillId="0" borderId="19" xfId="0" applyFont="1" applyBorder="1" applyAlignment="1">
      <alignment horizontal="center" vertical="center" shrinkToFit="1"/>
    </xf>
    <xf numFmtId="0" fontId="42" fillId="0" borderId="0" xfId="0" applyFont="1" applyAlignment="1" applyProtection="1">
      <alignment vertical="center"/>
      <protection locked="0"/>
    </xf>
    <xf numFmtId="0" fontId="30" fillId="0" borderId="10" xfId="0" applyFont="1" applyBorder="1" applyAlignment="1">
      <alignment vertical="center" wrapText="1"/>
    </xf>
    <xf numFmtId="0" fontId="35" fillId="0" borderId="11" xfId="0" applyFont="1" applyBorder="1" applyAlignment="1">
      <alignment horizontal="center" vertical="center"/>
    </xf>
    <xf numFmtId="0" fontId="30" fillId="0" borderId="10" xfId="0" applyFont="1" applyBorder="1" applyAlignment="1">
      <alignment horizontal="left" vertical="center" wrapText="1" indent="1"/>
    </xf>
    <xf numFmtId="0" fontId="33" fillId="0" borderId="20" xfId="0" applyFont="1" applyBorder="1" applyAlignment="1" applyProtection="1">
      <alignment horizontal="center" vertical="center"/>
      <protection locked="0"/>
    </xf>
    <xf numFmtId="0" fontId="1" fillId="0" borderId="0" xfId="0" applyFont="1" applyAlignment="1">
      <alignment horizontal="right" vertical="center"/>
    </xf>
    <xf numFmtId="0" fontId="8" fillId="0" borderId="0" xfId="0" applyFont="1" applyProtection="1">
      <protection locked="0"/>
    </xf>
    <xf numFmtId="165" fontId="35" fillId="23" borderId="11" xfId="0" applyNumberFormat="1" applyFont="1" applyFill="1" applyBorder="1" applyAlignment="1">
      <alignment horizontal="center" vertical="center"/>
    </xf>
    <xf numFmtId="1" fontId="35" fillId="24" borderId="11" xfId="0" applyNumberFormat="1" applyFont="1" applyFill="1" applyBorder="1" applyAlignment="1">
      <alignment horizontal="center" vertical="center"/>
    </xf>
    <xf numFmtId="9" fontId="35" fillId="25" borderId="11" xfId="40" applyFont="1" applyFill="1" applyBorder="1" applyAlignment="1" applyProtection="1">
      <alignment horizontal="center" vertical="center"/>
    </xf>
    <xf numFmtId="0" fontId="44" fillId="0" borderId="0" xfId="34" applyFont="1" applyBorder="1" applyAlignment="1" applyProtection="1">
      <alignment horizontal="left" vertical="center"/>
    </xf>
    <xf numFmtId="0" fontId="43" fillId="0" borderId="0" xfId="34" applyFont="1" applyBorder="1" applyAlignment="1" applyProtection="1">
      <alignment horizontal="left" vertical="center"/>
    </xf>
    <xf numFmtId="0" fontId="36" fillId="0" borderId="14" xfId="0" applyFont="1" applyBorder="1" applyAlignment="1">
      <alignment horizontal="center" vertical="center"/>
    </xf>
    <xf numFmtId="0" fontId="36" fillId="0" borderId="12" xfId="0" applyFont="1" applyBorder="1" applyAlignment="1">
      <alignment horizontal="center" vertical="center"/>
    </xf>
    <xf numFmtId="0" fontId="36" fillId="0" borderId="15" xfId="0" applyFont="1" applyBorder="1" applyAlignment="1">
      <alignment horizontal="center" vertical="center"/>
    </xf>
    <xf numFmtId="164" fontId="33" fillId="0" borderId="20" xfId="0" applyNumberFormat="1" applyFont="1" applyBorder="1" applyAlignment="1" applyProtection="1">
      <alignment horizontal="center" vertical="center" shrinkToFit="1"/>
      <protection locked="0"/>
    </xf>
    <xf numFmtId="167" fontId="33" fillId="0" borderId="14" xfId="0" applyNumberFormat="1" applyFont="1" applyBorder="1" applyAlignment="1">
      <alignment horizontal="center" vertical="center"/>
    </xf>
    <xf numFmtId="167" fontId="33" fillId="0" borderId="12" xfId="0" applyNumberFormat="1" applyFont="1" applyBorder="1" applyAlignment="1">
      <alignment horizontal="center" vertical="center"/>
    </xf>
    <xf numFmtId="167" fontId="33" fillId="0" borderId="15" xfId="0" applyNumberFormat="1" applyFont="1" applyBorder="1" applyAlignment="1">
      <alignment horizontal="center" vertical="center"/>
    </xf>
    <xf numFmtId="164" fontId="36" fillId="0" borderId="21" xfId="0" applyNumberFormat="1" applyFont="1" applyBorder="1" applyAlignment="1" applyProtection="1">
      <alignment horizontal="center" vertical="center" shrinkToFit="1"/>
      <protection locked="0"/>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5">
    <dxf>
      <border>
        <left style="thin">
          <color rgb="FFC00000"/>
        </left>
        <right style="thin">
          <color rgb="FFC00000"/>
        </right>
        <vertical/>
        <horizontal/>
      </border>
    </dxf>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CC99"/>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file>

<file path=xl/drawings/drawing1.xml><?xml version="1.0" encoding="utf-8"?>
<xdr:wsDr xmlns:xdr="http://schemas.openxmlformats.org/drawingml/2006/spreadsheetDrawing" xmlns:a="http://schemas.openxmlformats.org/drawingml/2006/main">
  <xdr:twoCellAnchor editAs="absolute">
    <xdr:from>
      <xdr:col>7</xdr:col>
      <xdr:colOff>41910</xdr:colOff>
      <xdr:row>5</xdr:row>
      <xdr:rowOff>142875</xdr:rowOff>
    </xdr:from>
    <xdr:to>
      <xdr:col>23</xdr:col>
      <xdr:colOff>106680</xdr:colOff>
      <xdr:row>10</xdr:row>
      <xdr:rowOff>42333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99060</xdr:colOff>
          <xdr:row>1</xdr:row>
          <xdr:rowOff>121920</xdr:rowOff>
        </xdr:from>
        <xdr:to>
          <xdr:col>26</xdr:col>
          <xdr:colOff>106680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vertex42.com/ExcelTemplates/excel-gantt-chart.html" TargetMode="External"/><Relationship Id="rId6" Type="http://schemas.openxmlformats.org/officeDocument/2006/relationships/comments" Target="../comments1.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pageSetUpPr fitToPage="1"/>
  </sheetPr>
  <dimension ref="A1:BN43"/>
  <sheetViews>
    <sheetView showGridLines="0" tabSelected="1" zoomScale="96" zoomScaleNormal="85" workbookViewId="0">
      <pane ySplit="7" topLeftCell="A8" activePane="bottomLeft" state="frozen"/>
      <selection pane="bottomLeft" activeCell="H17" sqref="H17"/>
    </sheetView>
  </sheetViews>
  <sheetFormatPr defaultColWidth="9.109375" defaultRowHeight="13.2" x14ac:dyDescent="0.25"/>
  <cols>
    <col min="1" max="1" width="6.88671875" customWidth="1"/>
    <col min="2" max="2" width="19" customWidth="1"/>
    <col min="3" max="3" width="17.44140625" customWidth="1"/>
    <col min="4" max="4" width="6.5546875" hidden="1" customWidth="1"/>
    <col min="5" max="5" width="12" customWidth="1"/>
    <col min="6" max="6" width="6.33203125" customWidth="1"/>
    <col min="7" max="7" width="12" customWidth="1"/>
    <col min="8" max="8" width="6.6640625" customWidth="1"/>
    <col min="9" max="9" width="7.88671875" customWidth="1"/>
    <col min="10" max="10" width="1.88671875" customWidth="1"/>
    <col min="11" max="14" width="2.44140625" customWidth="1"/>
    <col min="15" max="15" width="4.88671875" customWidth="1"/>
    <col min="16" max="66" width="2.44140625" customWidth="1"/>
  </cols>
  <sheetData>
    <row r="1" spans="1:66" ht="30" customHeight="1" x14ac:dyDescent="0.25">
      <c r="A1" s="48" t="s">
        <v>29</v>
      </c>
      <c r="B1" s="5"/>
      <c r="C1" s="5"/>
      <c r="D1" s="5"/>
      <c r="E1" s="5"/>
      <c r="G1" s="5"/>
      <c r="I1" s="53"/>
      <c r="K1" s="58" t="s">
        <v>14</v>
      </c>
      <c r="L1" s="59"/>
      <c r="M1" s="59"/>
      <c r="N1" s="59"/>
      <c r="O1" s="59"/>
      <c r="P1" s="59"/>
      <c r="Q1" s="59"/>
      <c r="R1" s="59"/>
      <c r="S1" s="59"/>
      <c r="T1" s="59"/>
      <c r="U1" s="59"/>
      <c r="V1" s="59"/>
      <c r="W1" s="59"/>
      <c r="X1" s="59"/>
      <c r="Y1" s="59"/>
      <c r="Z1" s="59"/>
      <c r="AA1" s="59"/>
      <c r="AB1" s="59"/>
      <c r="AC1" s="59"/>
      <c r="AD1" s="59"/>
      <c r="AE1" s="59"/>
    </row>
    <row r="2" spans="1:66" ht="18" customHeight="1" x14ac:dyDescent="0.25">
      <c r="A2" s="8" t="s">
        <v>62</v>
      </c>
      <c r="B2" s="2"/>
      <c r="C2" s="2"/>
      <c r="D2" s="4"/>
      <c r="E2" s="54"/>
      <c r="G2" s="54"/>
      <c r="H2" s="1"/>
    </row>
    <row r="3" spans="1:66" ht="13.8" x14ac:dyDescent="0.25">
      <c r="A3" s="8"/>
      <c r="B3" s="6"/>
      <c r="H3" s="1"/>
      <c r="K3" s="3"/>
      <c r="L3" s="3"/>
      <c r="M3" s="3"/>
      <c r="N3" s="3"/>
      <c r="O3" s="3"/>
      <c r="P3" s="3"/>
      <c r="Q3" s="3"/>
      <c r="R3" s="3"/>
      <c r="S3" s="3"/>
      <c r="T3" s="3"/>
      <c r="U3" s="3"/>
      <c r="V3" s="3"/>
      <c r="W3" s="3"/>
      <c r="X3" s="3"/>
      <c r="Y3" s="3"/>
      <c r="Z3" s="3"/>
      <c r="AA3" s="3"/>
    </row>
    <row r="4" spans="1:66" ht="17.25" customHeight="1" x14ac:dyDescent="0.25">
      <c r="A4" s="38"/>
      <c r="B4" s="39" t="s">
        <v>9</v>
      </c>
      <c r="C4" s="63">
        <v>45237</v>
      </c>
      <c r="D4" s="63"/>
      <c r="E4" s="63"/>
      <c r="F4" s="39" t="s">
        <v>8</v>
      </c>
      <c r="G4" s="38"/>
      <c r="H4" s="52">
        <v>1</v>
      </c>
      <c r="I4" s="6"/>
      <c r="J4" s="7"/>
      <c r="K4" s="60" t="str">
        <f>"Week "&amp;(K6-($C$4-WEEKDAY($C$4,1)+2))/7+1</f>
        <v>Week 1</v>
      </c>
      <c r="L4" s="61"/>
      <c r="M4" s="61"/>
      <c r="N4" s="61"/>
      <c r="O4" s="61"/>
      <c r="P4" s="61"/>
      <c r="Q4" s="62"/>
      <c r="R4" s="60" t="str">
        <f>"Week "&amp;(R6-($C$4-WEEKDAY($C$4,1)+2))/7+1</f>
        <v>Week 2</v>
      </c>
      <c r="S4" s="61"/>
      <c r="T4" s="61"/>
      <c r="U4" s="61"/>
      <c r="V4" s="61"/>
      <c r="W4" s="61"/>
      <c r="X4" s="62"/>
      <c r="Y4" s="60" t="str">
        <f>"Week "&amp;(Y6-($C$4-WEEKDAY($C$4,1)+2))/7+1</f>
        <v>Week 3</v>
      </c>
      <c r="Z4" s="61"/>
      <c r="AA4" s="61"/>
      <c r="AB4" s="61"/>
      <c r="AC4" s="61"/>
      <c r="AD4" s="61"/>
      <c r="AE4" s="62"/>
      <c r="AF4" s="60" t="str">
        <f>"Week "&amp;(AF6-($C$4-WEEKDAY($C$4,1)+2))/7+1</f>
        <v>Week 4</v>
      </c>
      <c r="AG4" s="61"/>
      <c r="AH4" s="61"/>
      <c r="AI4" s="61"/>
      <c r="AJ4" s="61"/>
      <c r="AK4" s="61"/>
      <c r="AL4" s="62"/>
      <c r="AM4" s="60" t="str">
        <f>"Week "&amp;(AM6-($C$4-WEEKDAY($C$4,1)+2))/7+1</f>
        <v>Week 5</v>
      </c>
      <c r="AN4" s="61"/>
      <c r="AO4" s="61"/>
      <c r="AP4" s="61"/>
      <c r="AQ4" s="61"/>
      <c r="AR4" s="61"/>
      <c r="AS4" s="62"/>
      <c r="AT4" s="60" t="str">
        <f>"Week "&amp;(AT6-($C$4-WEEKDAY($C$4,1)+2))/7+1</f>
        <v>Week 6</v>
      </c>
      <c r="AU4" s="61"/>
      <c r="AV4" s="61"/>
      <c r="AW4" s="61"/>
      <c r="AX4" s="61"/>
      <c r="AY4" s="61"/>
      <c r="AZ4" s="62"/>
      <c r="BA4" s="60" t="str">
        <f>"Week "&amp;(BA6-($C$4-WEEKDAY($C$4,1)+2))/7+1</f>
        <v>Week 7</v>
      </c>
      <c r="BB4" s="61"/>
      <c r="BC4" s="61"/>
      <c r="BD4" s="61"/>
      <c r="BE4" s="61"/>
      <c r="BF4" s="61"/>
      <c r="BG4" s="62"/>
      <c r="BH4" s="60" t="str">
        <f>"Week "&amp;(BH6-($C$4-WEEKDAY($C$4,1)+2))/7+1</f>
        <v>Week 8</v>
      </c>
      <c r="BI4" s="61"/>
      <c r="BJ4" s="61"/>
      <c r="BK4" s="61"/>
      <c r="BL4" s="61"/>
      <c r="BM4" s="61"/>
      <c r="BN4" s="62"/>
    </row>
    <row r="5" spans="1:66" ht="17.25" customHeight="1" x14ac:dyDescent="0.25">
      <c r="A5" s="38"/>
      <c r="B5" s="39" t="s">
        <v>10</v>
      </c>
      <c r="C5" s="67" t="s">
        <v>28</v>
      </c>
      <c r="D5" s="67"/>
      <c r="E5" s="67"/>
      <c r="F5" s="67"/>
      <c r="G5" s="67"/>
      <c r="H5" s="67"/>
      <c r="I5" s="38"/>
      <c r="J5" s="7"/>
      <c r="K5" s="64">
        <f>K6</f>
        <v>45236</v>
      </c>
      <c r="L5" s="65"/>
      <c r="M5" s="65"/>
      <c r="N5" s="65"/>
      <c r="O5" s="65"/>
      <c r="P5" s="65"/>
      <c r="Q5" s="66"/>
      <c r="R5" s="64">
        <f>R6</f>
        <v>45243</v>
      </c>
      <c r="S5" s="65"/>
      <c r="T5" s="65"/>
      <c r="U5" s="65"/>
      <c r="V5" s="65"/>
      <c r="W5" s="65"/>
      <c r="X5" s="66"/>
      <c r="Y5" s="64">
        <f>Y6</f>
        <v>45250</v>
      </c>
      <c r="Z5" s="65"/>
      <c r="AA5" s="65"/>
      <c r="AB5" s="65"/>
      <c r="AC5" s="65"/>
      <c r="AD5" s="65"/>
      <c r="AE5" s="66"/>
      <c r="AF5" s="64">
        <f>AF6</f>
        <v>45257</v>
      </c>
      <c r="AG5" s="65"/>
      <c r="AH5" s="65"/>
      <c r="AI5" s="65"/>
      <c r="AJ5" s="65"/>
      <c r="AK5" s="65"/>
      <c r="AL5" s="66"/>
      <c r="AM5" s="64">
        <f>AM6</f>
        <v>45264</v>
      </c>
      <c r="AN5" s="65"/>
      <c r="AO5" s="65"/>
      <c r="AP5" s="65"/>
      <c r="AQ5" s="65"/>
      <c r="AR5" s="65"/>
      <c r="AS5" s="66"/>
      <c r="AT5" s="64">
        <f>AT6</f>
        <v>45271</v>
      </c>
      <c r="AU5" s="65"/>
      <c r="AV5" s="65"/>
      <c r="AW5" s="65"/>
      <c r="AX5" s="65"/>
      <c r="AY5" s="65"/>
      <c r="AZ5" s="66"/>
      <c r="BA5" s="64">
        <f>BA6</f>
        <v>45278</v>
      </c>
      <c r="BB5" s="65"/>
      <c r="BC5" s="65"/>
      <c r="BD5" s="65"/>
      <c r="BE5" s="65"/>
      <c r="BF5" s="65"/>
      <c r="BG5" s="66"/>
      <c r="BH5" s="64">
        <f>BH6</f>
        <v>45285</v>
      </c>
      <c r="BI5" s="65"/>
      <c r="BJ5" s="65"/>
      <c r="BK5" s="65"/>
      <c r="BL5" s="65"/>
      <c r="BM5" s="65"/>
      <c r="BN5" s="66"/>
    </row>
    <row r="6" spans="1:66" x14ac:dyDescent="0.25">
      <c r="A6" s="7"/>
      <c r="B6" s="7"/>
      <c r="C6" s="7"/>
      <c r="D6" s="7"/>
      <c r="E6" s="7"/>
      <c r="F6" s="7"/>
      <c r="G6" s="7"/>
      <c r="H6" s="7"/>
      <c r="I6" s="7"/>
      <c r="J6" s="7"/>
      <c r="K6" s="28">
        <f>C4-WEEKDAY(C4,1)+2+7*(H4-1)</f>
        <v>45236</v>
      </c>
      <c r="L6" s="19">
        <f t="shared" ref="L6:AQ6" si="0">K6+1</f>
        <v>45237</v>
      </c>
      <c r="M6" s="19">
        <f t="shared" si="0"/>
        <v>45238</v>
      </c>
      <c r="N6" s="19">
        <f t="shared" si="0"/>
        <v>45239</v>
      </c>
      <c r="O6" s="19">
        <f t="shared" si="0"/>
        <v>45240</v>
      </c>
      <c r="P6" s="19">
        <f t="shared" si="0"/>
        <v>45241</v>
      </c>
      <c r="Q6" s="29">
        <f t="shared" si="0"/>
        <v>45242</v>
      </c>
      <c r="R6" s="28">
        <f t="shared" si="0"/>
        <v>45243</v>
      </c>
      <c r="S6" s="19">
        <f t="shared" si="0"/>
        <v>45244</v>
      </c>
      <c r="T6" s="19">
        <f t="shared" si="0"/>
        <v>45245</v>
      </c>
      <c r="U6" s="19">
        <f t="shared" si="0"/>
        <v>45246</v>
      </c>
      <c r="V6" s="19">
        <f t="shared" si="0"/>
        <v>45247</v>
      </c>
      <c r="W6" s="19">
        <f t="shared" si="0"/>
        <v>45248</v>
      </c>
      <c r="X6" s="29">
        <f t="shared" si="0"/>
        <v>45249</v>
      </c>
      <c r="Y6" s="28">
        <f t="shared" si="0"/>
        <v>45250</v>
      </c>
      <c r="Z6" s="19">
        <f t="shared" si="0"/>
        <v>45251</v>
      </c>
      <c r="AA6" s="19">
        <f t="shared" si="0"/>
        <v>45252</v>
      </c>
      <c r="AB6" s="19">
        <f t="shared" si="0"/>
        <v>45253</v>
      </c>
      <c r="AC6" s="19">
        <f t="shared" si="0"/>
        <v>45254</v>
      </c>
      <c r="AD6" s="19">
        <f t="shared" si="0"/>
        <v>45255</v>
      </c>
      <c r="AE6" s="29">
        <f t="shared" si="0"/>
        <v>45256</v>
      </c>
      <c r="AF6" s="28">
        <f t="shared" si="0"/>
        <v>45257</v>
      </c>
      <c r="AG6" s="19">
        <f t="shared" si="0"/>
        <v>45258</v>
      </c>
      <c r="AH6" s="19">
        <f t="shared" si="0"/>
        <v>45259</v>
      </c>
      <c r="AI6" s="19">
        <f t="shared" si="0"/>
        <v>45260</v>
      </c>
      <c r="AJ6" s="19">
        <f t="shared" si="0"/>
        <v>45261</v>
      </c>
      <c r="AK6" s="19">
        <f t="shared" si="0"/>
        <v>45262</v>
      </c>
      <c r="AL6" s="29">
        <f t="shared" si="0"/>
        <v>45263</v>
      </c>
      <c r="AM6" s="28">
        <f t="shared" si="0"/>
        <v>45264</v>
      </c>
      <c r="AN6" s="19">
        <f t="shared" si="0"/>
        <v>45265</v>
      </c>
      <c r="AO6" s="19">
        <f t="shared" si="0"/>
        <v>45266</v>
      </c>
      <c r="AP6" s="19">
        <f t="shared" si="0"/>
        <v>45267</v>
      </c>
      <c r="AQ6" s="19">
        <f t="shared" si="0"/>
        <v>45268</v>
      </c>
      <c r="AR6" s="19">
        <f t="shared" ref="AR6:BN6" si="1">AQ6+1</f>
        <v>45269</v>
      </c>
      <c r="AS6" s="29">
        <f t="shared" si="1"/>
        <v>45270</v>
      </c>
      <c r="AT6" s="28">
        <f t="shared" si="1"/>
        <v>45271</v>
      </c>
      <c r="AU6" s="19">
        <f t="shared" si="1"/>
        <v>45272</v>
      </c>
      <c r="AV6" s="19">
        <f t="shared" si="1"/>
        <v>45273</v>
      </c>
      <c r="AW6" s="19">
        <f t="shared" si="1"/>
        <v>45274</v>
      </c>
      <c r="AX6" s="19">
        <f t="shared" si="1"/>
        <v>45275</v>
      </c>
      <c r="AY6" s="19">
        <f t="shared" si="1"/>
        <v>45276</v>
      </c>
      <c r="AZ6" s="29">
        <f t="shared" si="1"/>
        <v>45277</v>
      </c>
      <c r="BA6" s="28">
        <f t="shared" si="1"/>
        <v>45278</v>
      </c>
      <c r="BB6" s="19">
        <f t="shared" si="1"/>
        <v>45279</v>
      </c>
      <c r="BC6" s="19">
        <f t="shared" si="1"/>
        <v>45280</v>
      </c>
      <c r="BD6" s="19">
        <f t="shared" si="1"/>
        <v>45281</v>
      </c>
      <c r="BE6" s="19">
        <f t="shared" si="1"/>
        <v>45282</v>
      </c>
      <c r="BF6" s="19">
        <f t="shared" si="1"/>
        <v>45283</v>
      </c>
      <c r="BG6" s="29">
        <f t="shared" si="1"/>
        <v>45284</v>
      </c>
      <c r="BH6" s="28">
        <f t="shared" si="1"/>
        <v>45285</v>
      </c>
      <c r="BI6" s="19">
        <f t="shared" si="1"/>
        <v>45286</v>
      </c>
      <c r="BJ6" s="19">
        <f t="shared" si="1"/>
        <v>45287</v>
      </c>
      <c r="BK6" s="19">
        <f t="shared" si="1"/>
        <v>45288</v>
      </c>
      <c r="BL6" s="19">
        <f t="shared" si="1"/>
        <v>45289</v>
      </c>
      <c r="BM6" s="19">
        <f t="shared" si="1"/>
        <v>45290</v>
      </c>
      <c r="BN6" s="29">
        <f t="shared" si="1"/>
        <v>45291</v>
      </c>
    </row>
    <row r="7" spans="1:66" s="6" customFormat="1" ht="22.5" customHeight="1" thickBot="1" x14ac:dyDescent="0.3">
      <c r="A7" s="41" t="s">
        <v>0</v>
      </c>
      <c r="B7" s="41" t="s">
        <v>1</v>
      </c>
      <c r="C7" s="42" t="s">
        <v>13</v>
      </c>
      <c r="D7" s="43" t="s">
        <v>7</v>
      </c>
      <c r="E7" s="44" t="s">
        <v>2</v>
      </c>
      <c r="F7" s="42" t="s">
        <v>4</v>
      </c>
      <c r="G7" s="44" t="s">
        <v>3</v>
      </c>
      <c r="H7" s="42" t="s">
        <v>5</v>
      </c>
      <c r="I7" s="42" t="s">
        <v>6</v>
      </c>
      <c r="J7" s="42"/>
      <c r="K7" s="45" t="str">
        <f t="shared" ref="K7:AP7" si="2">CHOOSE(WEEKDAY(K6,1),"S","M","T","W","T","F","S")</f>
        <v>M</v>
      </c>
      <c r="L7" s="46" t="str">
        <f t="shared" si="2"/>
        <v>T</v>
      </c>
      <c r="M7" s="46" t="str">
        <f t="shared" si="2"/>
        <v>W</v>
      </c>
      <c r="N7" s="46" t="str">
        <f t="shared" si="2"/>
        <v>T</v>
      </c>
      <c r="O7" s="46" t="str">
        <f t="shared" si="2"/>
        <v>F</v>
      </c>
      <c r="P7" s="46" t="str">
        <f t="shared" si="2"/>
        <v>S</v>
      </c>
      <c r="Q7" s="47" t="str">
        <f t="shared" si="2"/>
        <v>S</v>
      </c>
      <c r="R7" s="45" t="str">
        <f t="shared" si="2"/>
        <v>M</v>
      </c>
      <c r="S7" s="46" t="str">
        <f t="shared" si="2"/>
        <v>T</v>
      </c>
      <c r="T7" s="46" t="str">
        <f t="shared" si="2"/>
        <v>W</v>
      </c>
      <c r="U7" s="46" t="str">
        <f t="shared" si="2"/>
        <v>T</v>
      </c>
      <c r="V7" s="46" t="str">
        <f t="shared" si="2"/>
        <v>F</v>
      </c>
      <c r="W7" s="46" t="str">
        <f t="shared" si="2"/>
        <v>S</v>
      </c>
      <c r="X7" s="47" t="str">
        <f t="shared" si="2"/>
        <v>S</v>
      </c>
      <c r="Y7" s="45" t="str">
        <f t="shared" si="2"/>
        <v>M</v>
      </c>
      <c r="Z7" s="46" t="str">
        <f t="shared" si="2"/>
        <v>T</v>
      </c>
      <c r="AA7" s="46" t="str">
        <f t="shared" si="2"/>
        <v>W</v>
      </c>
      <c r="AB7" s="46" t="str">
        <f t="shared" si="2"/>
        <v>T</v>
      </c>
      <c r="AC7" s="46" t="str">
        <f t="shared" si="2"/>
        <v>F</v>
      </c>
      <c r="AD7" s="46" t="str">
        <f t="shared" si="2"/>
        <v>S</v>
      </c>
      <c r="AE7" s="47" t="str">
        <f t="shared" si="2"/>
        <v>S</v>
      </c>
      <c r="AF7" s="45" t="str">
        <f t="shared" si="2"/>
        <v>M</v>
      </c>
      <c r="AG7" s="46" t="str">
        <f t="shared" si="2"/>
        <v>T</v>
      </c>
      <c r="AH7" s="46" t="str">
        <f t="shared" si="2"/>
        <v>W</v>
      </c>
      <c r="AI7" s="46" t="str">
        <f t="shared" si="2"/>
        <v>T</v>
      </c>
      <c r="AJ7" s="46" t="str">
        <f t="shared" si="2"/>
        <v>F</v>
      </c>
      <c r="AK7" s="46" t="str">
        <f t="shared" si="2"/>
        <v>S</v>
      </c>
      <c r="AL7" s="47" t="str">
        <f t="shared" si="2"/>
        <v>S</v>
      </c>
      <c r="AM7" s="45" t="str">
        <f t="shared" si="2"/>
        <v>M</v>
      </c>
      <c r="AN7" s="46" t="str">
        <f t="shared" si="2"/>
        <v>T</v>
      </c>
      <c r="AO7" s="46" t="str">
        <f t="shared" si="2"/>
        <v>W</v>
      </c>
      <c r="AP7" s="46" t="str">
        <f t="shared" si="2"/>
        <v>T</v>
      </c>
      <c r="AQ7" s="46" t="str">
        <f t="shared" ref="AQ7:BN7" si="3">CHOOSE(WEEKDAY(AQ6,1),"S","M","T","W","T","F","S")</f>
        <v>F</v>
      </c>
      <c r="AR7" s="46" t="str">
        <f t="shared" si="3"/>
        <v>S</v>
      </c>
      <c r="AS7" s="47" t="str">
        <f t="shared" si="3"/>
        <v>S</v>
      </c>
      <c r="AT7" s="45" t="str">
        <f t="shared" si="3"/>
        <v>M</v>
      </c>
      <c r="AU7" s="46" t="str">
        <f t="shared" si="3"/>
        <v>T</v>
      </c>
      <c r="AV7" s="46" t="str">
        <f t="shared" si="3"/>
        <v>W</v>
      </c>
      <c r="AW7" s="46" t="str">
        <f t="shared" si="3"/>
        <v>T</v>
      </c>
      <c r="AX7" s="46" t="str">
        <f t="shared" si="3"/>
        <v>F</v>
      </c>
      <c r="AY7" s="46" t="str">
        <f t="shared" si="3"/>
        <v>S</v>
      </c>
      <c r="AZ7" s="47" t="str">
        <f t="shared" si="3"/>
        <v>S</v>
      </c>
      <c r="BA7" s="45" t="str">
        <f t="shared" si="3"/>
        <v>M</v>
      </c>
      <c r="BB7" s="46" t="str">
        <f t="shared" si="3"/>
        <v>T</v>
      </c>
      <c r="BC7" s="46" t="str">
        <f t="shared" si="3"/>
        <v>W</v>
      </c>
      <c r="BD7" s="46" t="str">
        <f t="shared" si="3"/>
        <v>T</v>
      </c>
      <c r="BE7" s="46" t="str">
        <f t="shared" si="3"/>
        <v>F</v>
      </c>
      <c r="BF7" s="46" t="str">
        <f t="shared" si="3"/>
        <v>S</v>
      </c>
      <c r="BG7" s="47" t="str">
        <f t="shared" si="3"/>
        <v>S</v>
      </c>
      <c r="BH7" s="45" t="str">
        <f t="shared" si="3"/>
        <v>M</v>
      </c>
      <c r="BI7" s="46" t="str">
        <f t="shared" si="3"/>
        <v>T</v>
      </c>
      <c r="BJ7" s="46" t="str">
        <f t="shared" si="3"/>
        <v>W</v>
      </c>
      <c r="BK7" s="46" t="str">
        <f t="shared" si="3"/>
        <v>T</v>
      </c>
      <c r="BL7" s="46" t="str">
        <f t="shared" si="3"/>
        <v>F</v>
      </c>
      <c r="BM7" s="46" t="str">
        <f t="shared" si="3"/>
        <v>S</v>
      </c>
      <c r="BN7" s="47" t="str">
        <f t="shared" si="3"/>
        <v>S</v>
      </c>
    </row>
    <row r="8" spans="1:66" s="11" customFormat="1" ht="17.399999999999999" x14ac:dyDescent="0.25">
      <c r="A8" s="20" t="str">
        <f>IF(ISERROR(VALUE(SUBSTITUTE(prevWBS,".",""))),"1",IF(ISERROR(FIND("`",SUBSTITUTE(prevWBS,".","`",1))),TEXT(VALUE(prevWBS)+1,"#"),TEXT(VALUE(LEFT(prevWBS,FIND("`",SUBSTITUTE(prevWBS,".","`",1))-1))+1,"#")))</f>
        <v>1</v>
      </c>
      <c r="B8" s="21" t="s">
        <v>11</v>
      </c>
      <c r="C8" s="22"/>
      <c r="D8" s="23"/>
      <c r="E8" s="24">
        <v>45603</v>
      </c>
      <c r="F8" s="25">
        <v>114</v>
      </c>
      <c r="G8" s="40">
        <f>IF(ISBLANK(E8)," - ",IF(F8=0,E8,E8+F8-1))</f>
        <v>45716</v>
      </c>
      <c r="H8" s="26"/>
      <c r="I8" s="27">
        <f t="shared" ref="I8:I43" si="4">IF(OR(G8=0,E8=0)," - ",NETWORKDAYS(E8,G8))</f>
        <v>82</v>
      </c>
      <c r="J8" s="30"/>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c r="BM8" s="35"/>
      <c r="BN8" s="35"/>
    </row>
    <row r="9" spans="1:66" s="17" customFormat="1" ht="17.399999999999999" x14ac:dyDescent="0.25">
      <c r="A9" s="16" t="str">
        <f t="shared" ref="A9:A14"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49" t="s">
        <v>15</v>
      </c>
      <c r="C9" s="17" t="s">
        <v>63</v>
      </c>
      <c r="D9" s="50"/>
      <c r="E9" s="33">
        <v>45237</v>
      </c>
      <c r="F9" s="56">
        <v>4</v>
      </c>
      <c r="G9" s="55">
        <f>IF(ISBLANK(E9)," - ",IF(F9=0,E9,E9+F9-1))</f>
        <v>45240</v>
      </c>
      <c r="H9" s="57">
        <v>1</v>
      </c>
      <c r="I9" s="18">
        <f t="shared" si="4"/>
        <v>4</v>
      </c>
      <c r="J9" s="31"/>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row>
    <row r="10" spans="1:66" s="17" customFormat="1" ht="17.399999999999999" x14ac:dyDescent="0.25">
      <c r="A10" s="16">
        <v>1.2</v>
      </c>
      <c r="B10" s="49" t="s">
        <v>19</v>
      </c>
      <c r="C10" s="17" t="s">
        <v>63</v>
      </c>
      <c r="D10" s="50"/>
      <c r="E10" s="33">
        <v>45240</v>
      </c>
      <c r="F10" s="56">
        <v>1</v>
      </c>
      <c r="G10" s="55">
        <f>IF(ISBLANK(E10)," - ",IF(F10=0,E10,E10+F10-1))</f>
        <v>45240</v>
      </c>
      <c r="H10" s="57">
        <v>1</v>
      </c>
      <c r="I10" s="18">
        <f t="shared" si="4"/>
        <v>1</v>
      </c>
      <c r="J10" s="31"/>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row>
    <row r="11" spans="1:66" s="17" customFormat="1" ht="17.399999999999999" x14ac:dyDescent="0.25">
      <c r="A11" s="16">
        <v>1.3</v>
      </c>
      <c r="B11" s="49" t="s">
        <v>20</v>
      </c>
      <c r="C11" s="17" t="s">
        <v>63</v>
      </c>
      <c r="D11" s="50"/>
      <c r="E11" s="33">
        <v>45254</v>
      </c>
      <c r="F11" s="56">
        <v>4</v>
      </c>
      <c r="G11" s="55">
        <f>IF(ISBLANK(E11)," - ",IF(F11=0,E11,E11+F11-1))</f>
        <v>45257</v>
      </c>
      <c r="H11" s="57">
        <v>1</v>
      </c>
      <c r="I11" s="18">
        <f t="shared" si="4"/>
        <v>2</v>
      </c>
      <c r="J11" s="31"/>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row>
    <row r="12" spans="1:66" s="17" customFormat="1" ht="17.399999999999999" x14ac:dyDescent="0.25">
      <c r="A12" s="16" t="str">
        <f t="shared" si="5"/>
        <v>1.4</v>
      </c>
      <c r="B12" s="49" t="s">
        <v>16</v>
      </c>
      <c r="C12" s="17" t="s">
        <v>17</v>
      </c>
      <c r="D12" s="50"/>
      <c r="E12" s="33">
        <v>45241</v>
      </c>
      <c r="F12" s="56">
        <v>30</v>
      </c>
      <c r="G12" s="55">
        <f t="shared" ref="G12:G24" si="6">IF(ISBLANK(E12)," - ",IF(F12=0,E12,E12+F12-1))</f>
        <v>45270</v>
      </c>
      <c r="H12" s="57">
        <v>1</v>
      </c>
      <c r="I12" s="18">
        <f t="shared" si="4"/>
        <v>20</v>
      </c>
      <c r="J12" s="31"/>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row>
    <row r="13" spans="1:66" s="17" customFormat="1" ht="22.8" x14ac:dyDescent="0.25">
      <c r="A13" s="16" t="str">
        <f t="shared" si="5"/>
        <v>1.5</v>
      </c>
      <c r="B13" s="49" t="s">
        <v>21</v>
      </c>
      <c r="C13" s="17" t="s">
        <v>63</v>
      </c>
      <c r="D13" s="50"/>
      <c r="E13" s="33">
        <v>45259</v>
      </c>
      <c r="F13" s="56">
        <v>3</v>
      </c>
      <c r="G13" s="55">
        <f t="shared" si="6"/>
        <v>45261</v>
      </c>
      <c r="H13" s="57">
        <v>1</v>
      </c>
      <c r="I13" s="18">
        <f t="shared" si="4"/>
        <v>3</v>
      </c>
      <c r="J13" s="31"/>
      <c r="K13" s="16"/>
      <c r="L13" s="16"/>
      <c r="M13" s="3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row>
    <row r="14" spans="1:66" s="17" customFormat="1" ht="17.399999999999999" x14ac:dyDescent="0.25">
      <c r="A14" s="16" t="str">
        <f t="shared" si="5"/>
        <v>1.6</v>
      </c>
      <c r="B14" s="49" t="s">
        <v>18</v>
      </c>
      <c r="C14" s="17" t="s">
        <v>63</v>
      </c>
      <c r="D14" s="50"/>
      <c r="E14" s="33">
        <v>45264</v>
      </c>
      <c r="F14" s="56">
        <v>30</v>
      </c>
      <c r="G14" s="55">
        <f t="shared" si="6"/>
        <v>45293</v>
      </c>
      <c r="H14" s="57">
        <v>1</v>
      </c>
      <c r="I14" s="18">
        <f t="shared" si="4"/>
        <v>22</v>
      </c>
      <c r="J14" s="31"/>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row>
    <row r="15" spans="1:66" s="17" customFormat="1" ht="17.399999999999999" x14ac:dyDescent="0.25">
      <c r="A15" s="1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1.6.1</v>
      </c>
      <c r="B15" s="51" t="s">
        <v>72</v>
      </c>
      <c r="C15" s="17" t="s">
        <v>63</v>
      </c>
      <c r="D15" s="50"/>
      <c r="E15" s="33">
        <v>45264</v>
      </c>
      <c r="F15" s="56">
        <v>10</v>
      </c>
      <c r="G15" s="55">
        <f t="shared" si="6"/>
        <v>45273</v>
      </c>
      <c r="H15" s="57">
        <v>0.9</v>
      </c>
      <c r="I15" s="18">
        <f t="shared" si="4"/>
        <v>8</v>
      </c>
      <c r="J15" s="31"/>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row>
    <row r="16" spans="1:66" s="17" customFormat="1" ht="17.399999999999999" x14ac:dyDescent="0.25">
      <c r="A16" s="1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1.6.2</v>
      </c>
      <c r="B16" s="51" t="s">
        <v>38</v>
      </c>
      <c r="C16" s="17" t="s">
        <v>25</v>
      </c>
      <c r="D16" s="50"/>
      <c r="E16" s="33">
        <v>45273</v>
      </c>
      <c r="F16" s="56">
        <v>9</v>
      </c>
      <c r="G16" s="55">
        <f t="shared" si="6"/>
        <v>45281</v>
      </c>
      <c r="H16" s="57">
        <v>1</v>
      </c>
      <c r="I16" s="18">
        <f t="shared" si="4"/>
        <v>7</v>
      </c>
      <c r="J16" s="31"/>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row>
    <row r="17" spans="1:66" s="17" customFormat="1" ht="17.399999999999999" x14ac:dyDescent="0.25">
      <c r="A17" s="1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1.6.3</v>
      </c>
      <c r="B17" s="51" t="s">
        <v>71</v>
      </c>
      <c r="C17" s="17" t="s">
        <v>63</v>
      </c>
      <c r="D17" s="50"/>
      <c r="E17" s="33">
        <v>45281</v>
      </c>
      <c r="F17" s="56">
        <v>10</v>
      </c>
      <c r="G17" s="55">
        <f t="shared" si="6"/>
        <v>45290</v>
      </c>
      <c r="H17" s="57">
        <v>0.8</v>
      </c>
      <c r="I17" s="18">
        <f t="shared" si="4"/>
        <v>7</v>
      </c>
      <c r="J17" s="31"/>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row>
    <row r="18" spans="1:66" s="17" customFormat="1" ht="17.399999999999999" x14ac:dyDescent="0.25">
      <c r="A18" s="16">
        <v>1.7</v>
      </c>
      <c r="B18" s="51" t="s">
        <v>70</v>
      </c>
      <c r="C18" s="17" t="s">
        <v>63</v>
      </c>
      <c r="D18" s="50"/>
      <c r="E18" s="33">
        <v>45292</v>
      </c>
      <c r="F18" s="56">
        <v>10</v>
      </c>
      <c r="G18" s="55">
        <f t="shared" si="6"/>
        <v>45301</v>
      </c>
      <c r="H18" s="57">
        <v>1</v>
      </c>
      <c r="I18" s="18">
        <f t="shared" si="4"/>
        <v>8</v>
      </c>
      <c r="J18" s="31"/>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row>
    <row r="19" spans="1:66" s="17" customFormat="1" ht="22.8" x14ac:dyDescent="0.25">
      <c r="A19"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1.8</v>
      </c>
      <c r="B19" s="49" t="s">
        <v>65</v>
      </c>
      <c r="C19" s="17" t="s">
        <v>63</v>
      </c>
      <c r="D19" s="50"/>
      <c r="E19" s="33">
        <v>45303</v>
      </c>
      <c r="F19" s="56">
        <v>49</v>
      </c>
      <c r="G19" s="55">
        <f t="shared" si="6"/>
        <v>45351</v>
      </c>
      <c r="H19" s="57">
        <v>0.7</v>
      </c>
      <c r="I19" s="18">
        <f t="shared" ref="I19:I24" si="7">IF(OR(G19=0,E19=0)," - ",NETWORKDAYS(E19,G19))</f>
        <v>35</v>
      </c>
      <c r="J19" s="31"/>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row>
    <row r="20" spans="1:66" s="17" customFormat="1" ht="17.399999999999999" x14ac:dyDescent="0.25">
      <c r="A20" s="1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1.8.1</v>
      </c>
      <c r="B20" s="51" t="s">
        <v>23</v>
      </c>
      <c r="C20" s="17" t="s">
        <v>63</v>
      </c>
      <c r="D20" s="50"/>
      <c r="E20" s="33">
        <v>45303</v>
      </c>
      <c r="F20" s="56">
        <v>35</v>
      </c>
      <c r="G20" s="55">
        <f t="shared" si="6"/>
        <v>45337</v>
      </c>
      <c r="H20" s="57">
        <v>0.7</v>
      </c>
      <c r="I20" s="18">
        <f t="shared" si="7"/>
        <v>25</v>
      </c>
      <c r="J20" s="31"/>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row>
    <row r="21" spans="1:66" s="17" customFormat="1" ht="17.399999999999999" x14ac:dyDescent="0.25">
      <c r="A21" s="16" t="s">
        <v>32</v>
      </c>
      <c r="B21" s="51" t="s">
        <v>36</v>
      </c>
      <c r="C21" s="17" t="s">
        <v>25</v>
      </c>
      <c r="D21" s="50"/>
      <c r="E21" s="33">
        <v>45303</v>
      </c>
      <c r="F21" s="56">
        <v>10</v>
      </c>
      <c r="G21" s="55">
        <f t="shared" si="6"/>
        <v>45312</v>
      </c>
      <c r="H21" s="57">
        <v>0.7</v>
      </c>
      <c r="I21" s="18">
        <f t="shared" si="7"/>
        <v>6</v>
      </c>
      <c r="J21" s="31"/>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row>
    <row r="22" spans="1:66" s="17" customFormat="1" ht="17.399999999999999" x14ac:dyDescent="0.25">
      <c r="A22" s="16" t="s">
        <v>33</v>
      </c>
      <c r="B22" s="51" t="s">
        <v>35</v>
      </c>
      <c r="C22" s="17" t="s">
        <v>50</v>
      </c>
      <c r="D22" s="50"/>
      <c r="E22" s="33">
        <v>45312</v>
      </c>
      <c r="F22" s="56">
        <v>10</v>
      </c>
      <c r="G22" s="55">
        <f t="shared" si="6"/>
        <v>45321</v>
      </c>
      <c r="H22" s="57">
        <v>0.7</v>
      </c>
      <c r="I22" s="18">
        <f t="shared" si="7"/>
        <v>7</v>
      </c>
      <c r="J22" s="31"/>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row>
    <row r="23" spans="1:66" s="17" customFormat="1" ht="17.399999999999999" x14ac:dyDescent="0.25">
      <c r="A23" s="16" t="s">
        <v>34</v>
      </c>
      <c r="B23" s="51" t="s">
        <v>37</v>
      </c>
      <c r="C23" s="17" t="s">
        <v>51</v>
      </c>
      <c r="D23" s="50"/>
      <c r="E23" s="33">
        <v>45321</v>
      </c>
      <c r="F23" s="56">
        <v>4</v>
      </c>
      <c r="G23" s="55">
        <f t="shared" si="6"/>
        <v>45324</v>
      </c>
      <c r="H23" s="57">
        <v>0.7</v>
      </c>
      <c r="I23" s="18">
        <f t="shared" si="7"/>
        <v>4</v>
      </c>
      <c r="J23" s="31"/>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row>
    <row r="24" spans="1:66" s="17" customFormat="1" ht="17.399999999999999" x14ac:dyDescent="0.25">
      <c r="A24" s="1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2.1.2</v>
      </c>
      <c r="B24" s="51" t="s">
        <v>27</v>
      </c>
      <c r="C24" s="17" t="s">
        <v>63</v>
      </c>
      <c r="D24" s="50"/>
      <c r="E24" s="33">
        <v>45313</v>
      </c>
      <c r="F24" s="56">
        <v>8</v>
      </c>
      <c r="G24" s="55">
        <f t="shared" si="6"/>
        <v>45320</v>
      </c>
      <c r="H24" s="57">
        <v>1</v>
      </c>
      <c r="I24" s="18">
        <f t="shared" si="7"/>
        <v>6</v>
      </c>
      <c r="J24" s="31"/>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row>
    <row r="25" spans="1:66" s="11" customFormat="1" ht="17.399999999999999" x14ac:dyDescent="0.25">
      <c r="A25" s="9" t="str">
        <f>IF(ISERROR(VALUE(SUBSTITUTE(prevWBS,".",""))),"1",IF(ISERROR(FIND("`",SUBSTITUTE(prevWBS,".","`",1))),TEXT(VALUE(prevWBS)+1,"#"),TEXT(VALUE(LEFT(prevWBS,FIND("`",SUBSTITUTE(prevWBS,".","`",1))-1))+1,"#")))</f>
        <v>3</v>
      </c>
      <c r="B25" s="10" t="s">
        <v>12</v>
      </c>
      <c r="D25" s="12"/>
      <c r="E25" s="34">
        <v>45352</v>
      </c>
      <c r="F25" s="13">
        <v>112</v>
      </c>
      <c r="G25" s="34">
        <f t="shared" ref="G25:G43" si="8">IF(ISBLANK(E25)," - ",IF(F25=0,E25,E25+F25-1))</f>
        <v>45463</v>
      </c>
      <c r="H25" s="14"/>
      <c r="I25" s="15">
        <f t="shared" si="4"/>
        <v>80</v>
      </c>
      <c r="J25" s="32"/>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row>
    <row r="26" spans="1:66" s="17" customFormat="1" ht="22.8" x14ac:dyDescent="0.25">
      <c r="A26"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26" s="49" t="s">
        <v>66</v>
      </c>
      <c r="C26" s="17" t="s">
        <v>63</v>
      </c>
      <c r="D26" s="50"/>
      <c r="E26" s="33">
        <v>45356</v>
      </c>
      <c r="F26" s="56">
        <v>50</v>
      </c>
      <c r="G26" s="55">
        <f t="shared" si="8"/>
        <v>45405</v>
      </c>
      <c r="H26" s="57">
        <v>0</v>
      </c>
      <c r="I26" s="18">
        <f t="shared" si="4"/>
        <v>36</v>
      </c>
      <c r="J26" s="31"/>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row>
    <row r="27" spans="1:66" s="17" customFormat="1" ht="17.399999999999999" x14ac:dyDescent="0.25">
      <c r="A27" s="1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3.1.1</v>
      </c>
      <c r="B27" s="51" t="s">
        <v>22</v>
      </c>
      <c r="C27" s="17" t="s">
        <v>63</v>
      </c>
      <c r="D27" s="50"/>
      <c r="E27" s="33">
        <v>45356</v>
      </c>
      <c r="F27" s="56">
        <v>20</v>
      </c>
      <c r="G27" s="55">
        <f t="shared" si="8"/>
        <v>45375</v>
      </c>
      <c r="H27" s="57">
        <v>0</v>
      </c>
      <c r="I27" s="18">
        <f t="shared" si="4"/>
        <v>14</v>
      </c>
      <c r="J27" s="31"/>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row>
    <row r="28" spans="1:66" s="17" customFormat="1" ht="17.399999999999999" x14ac:dyDescent="0.25">
      <c r="A28" s="16" t="s">
        <v>67</v>
      </c>
      <c r="B28" s="51" t="s">
        <v>39</v>
      </c>
      <c r="C28" s="17" t="s">
        <v>51</v>
      </c>
      <c r="D28" s="50"/>
      <c r="E28" s="33">
        <v>45375</v>
      </c>
      <c r="F28" s="56">
        <v>5</v>
      </c>
      <c r="G28" s="55">
        <f t="shared" si="8"/>
        <v>45379</v>
      </c>
      <c r="H28" s="57">
        <v>0</v>
      </c>
      <c r="I28" s="18">
        <f t="shared" si="4"/>
        <v>4</v>
      </c>
      <c r="J28" s="31"/>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row>
    <row r="29" spans="1:66" s="17" customFormat="1" ht="22.8" x14ac:dyDescent="0.25">
      <c r="A29" s="16" t="s">
        <v>68</v>
      </c>
      <c r="B29" s="51" t="s">
        <v>40</v>
      </c>
      <c r="C29" s="17" t="s">
        <v>50</v>
      </c>
      <c r="D29" s="50"/>
      <c r="E29" s="33">
        <v>45379</v>
      </c>
      <c r="F29" s="56">
        <v>3</v>
      </c>
      <c r="G29" s="55">
        <f t="shared" si="8"/>
        <v>45381</v>
      </c>
      <c r="H29" s="57">
        <v>0</v>
      </c>
      <c r="I29" s="18">
        <f t="shared" si="4"/>
        <v>2</v>
      </c>
      <c r="J29" s="31"/>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row>
    <row r="30" spans="1:66" s="17" customFormat="1" ht="34.200000000000003" x14ac:dyDescent="0.25">
      <c r="A30" s="16" t="s">
        <v>69</v>
      </c>
      <c r="B30" s="51" t="s">
        <v>41</v>
      </c>
      <c r="C30" s="17" t="s">
        <v>64</v>
      </c>
      <c r="D30" s="50"/>
      <c r="E30" s="33">
        <v>45381</v>
      </c>
      <c r="F30" s="56">
        <v>7</v>
      </c>
      <c r="G30" s="55">
        <f t="shared" si="8"/>
        <v>45387</v>
      </c>
      <c r="H30" s="57">
        <v>0</v>
      </c>
      <c r="I30" s="18">
        <f t="shared" si="4"/>
        <v>5</v>
      </c>
      <c r="J30" s="31"/>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row>
    <row r="31" spans="1:66" s="17" customFormat="1" ht="17.399999999999999" x14ac:dyDescent="0.25">
      <c r="A31" s="1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3.1.2</v>
      </c>
      <c r="B31" s="51" t="s">
        <v>30</v>
      </c>
      <c r="C31" s="17" t="s">
        <v>63</v>
      </c>
      <c r="D31" s="50"/>
      <c r="E31" s="33">
        <v>45387</v>
      </c>
      <c r="F31" s="56">
        <v>5</v>
      </c>
      <c r="G31" s="55">
        <f t="shared" si="8"/>
        <v>45391</v>
      </c>
      <c r="H31" s="57">
        <v>0</v>
      </c>
      <c r="I31" s="18">
        <f t="shared" si="4"/>
        <v>3</v>
      </c>
      <c r="J31" s="31"/>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row>
    <row r="32" spans="1:66" s="17" customFormat="1" ht="17.399999999999999" x14ac:dyDescent="0.25">
      <c r="A32" s="1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3.1.3</v>
      </c>
      <c r="B32" s="51" t="s">
        <v>24</v>
      </c>
      <c r="C32" s="17" t="s">
        <v>63</v>
      </c>
      <c r="D32" s="50"/>
      <c r="E32" s="33">
        <v>45391</v>
      </c>
      <c r="F32" s="56">
        <v>30</v>
      </c>
      <c r="G32" s="55">
        <f t="shared" si="8"/>
        <v>45420</v>
      </c>
      <c r="H32" s="57">
        <v>0</v>
      </c>
      <c r="I32" s="18">
        <f t="shared" si="4"/>
        <v>22</v>
      </c>
      <c r="J32" s="31"/>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row>
    <row r="33" spans="1:66" s="17" customFormat="1" ht="17.399999999999999" x14ac:dyDescent="0.25">
      <c r="A33" s="16" t="s">
        <v>42</v>
      </c>
      <c r="B33" s="51" t="s">
        <v>46</v>
      </c>
      <c r="C33" s="17" t="s">
        <v>25</v>
      </c>
      <c r="D33" s="50"/>
      <c r="E33" s="33">
        <v>45391</v>
      </c>
      <c r="F33" s="56">
        <v>5</v>
      </c>
      <c r="G33" s="55">
        <f t="shared" si="8"/>
        <v>45395</v>
      </c>
      <c r="H33" s="57">
        <v>0</v>
      </c>
      <c r="I33" s="18">
        <f t="shared" si="4"/>
        <v>4</v>
      </c>
      <c r="J33" s="31"/>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row>
    <row r="34" spans="1:66" s="17" customFormat="1" ht="17.399999999999999" x14ac:dyDescent="0.25">
      <c r="A34" s="16" t="s">
        <v>43</v>
      </c>
      <c r="B34" s="51" t="s">
        <v>47</v>
      </c>
      <c r="C34" s="17" t="s">
        <v>17</v>
      </c>
      <c r="D34" s="50"/>
      <c r="E34" s="33">
        <v>45395</v>
      </c>
      <c r="F34" s="56">
        <v>5</v>
      </c>
      <c r="G34" s="55">
        <f t="shared" si="8"/>
        <v>45399</v>
      </c>
      <c r="H34" s="57">
        <v>0</v>
      </c>
      <c r="I34" s="18">
        <f t="shared" si="4"/>
        <v>3</v>
      </c>
      <c r="J34" s="31"/>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row>
    <row r="35" spans="1:66" s="17" customFormat="1" ht="17.399999999999999" x14ac:dyDescent="0.25">
      <c r="A35" s="16" t="s">
        <v>45</v>
      </c>
      <c r="B35" s="51" t="s">
        <v>49</v>
      </c>
      <c r="C35" s="17" t="s">
        <v>17</v>
      </c>
      <c r="D35" s="50"/>
      <c r="E35" s="33">
        <v>45399</v>
      </c>
      <c r="F35" s="56">
        <v>10</v>
      </c>
      <c r="G35" s="55">
        <f t="shared" si="8"/>
        <v>45408</v>
      </c>
      <c r="H35" s="57">
        <v>0</v>
      </c>
      <c r="I35" s="18">
        <f t="shared" si="4"/>
        <v>8</v>
      </c>
      <c r="J35" s="31"/>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row>
    <row r="36" spans="1:66" s="17" customFormat="1" ht="17.399999999999999" x14ac:dyDescent="0.25">
      <c r="A36" s="16" t="s">
        <v>44</v>
      </c>
      <c r="B36" s="51" t="s">
        <v>48</v>
      </c>
      <c r="C36" s="17" t="s">
        <v>17</v>
      </c>
      <c r="D36" s="50"/>
      <c r="E36" s="33">
        <v>45408</v>
      </c>
      <c r="F36" s="56">
        <v>5</v>
      </c>
      <c r="G36" s="55">
        <f>IF(ISBLANK(E36)," - ",IF(F36=0,E36,E36+F36-1))</f>
        <v>45412</v>
      </c>
      <c r="H36" s="57">
        <v>0</v>
      </c>
      <c r="I36" s="18">
        <f>IF(OR(G36=0,E36=0)," - ",NETWORKDAYS(E36,G36))</f>
        <v>3</v>
      </c>
      <c r="J36" s="31"/>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row>
    <row r="37" spans="1:66" s="17" customFormat="1" ht="17.399999999999999" x14ac:dyDescent="0.25">
      <c r="A37" s="16" t="s">
        <v>45</v>
      </c>
      <c r="B37" s="51" t="s">
        <v>52</v>
      </c>
      <c r="C37" s="17" t="s">
        <v>63</v>
      </c>
      <c r="D37" s="50"/>
      <c r="E37" s="33">
        <v>45412</v>
      </c>
      <c r="F37" s="56">
        <v>5</v>
      </c>
      <c r="G37" s="55">
        <f>IF(ISBLANK(E37)," - ",IF(F37=0,E37,E37+F37-1))</f>
        <v>45416</v>
      </c>
      <c r="H37" s="57">
        <v>0</v>
      </c>
      <c r="I37" s="18">
        <f>IF(OR(G37=0,E37=0)," - ",NETWORKDAYS(E37,G37))</f>
        <v>4</v>
      </c>
      <c r="J37" s="31"/>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row>
    <row r="38" spans="1:66" s="17" customFormat="1" ht="17.399999999999999" x14ac:dyDescent="0.25">
      <c r="A38" s="1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2.1.6</v>
      </c>
      <c r="B38" s="49" t="s">
        <v>26</v>
      </c>
      <c r="C38" s="17" t="s">
        <v>17</v>
      </c>
      <c r="D38" s="50"/>
      <c r="E38" s="33">
        <v>45420</v>
      </c>
      <c r="F38" s="56">
        <v>15</v>
      </c>
      <c r="G38" s="55">
        <f t="shared" si="8"/>
        <v>45434</v>
      </c>
      <c r="H38" s="57">
        <v>0</v>
      </c>
      <c r="I38" s="18">
        <f t="shared" si="4"/>
        <v>11</v>
      </c>
      <c r="J38" s="31"/>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row>
    <row r="39" spans="1:66" s="17" customFormat="1" ht="17.399999999999999" x14ac:dyDescent="0.25">
      <c r="A39" s="16" t="s">
        <v>53</v>
      </c>
      <c r="B39" s="49" t="s">
        <v>57</v>
      </c>
      <c r="C39" s="17" t="s">
        <v>51</v>
      </c>
      <c r="D39" s="50"/>
      <c r="E39" s="33">
        <v>45434</v>
      </c>
      <c r="F39" s="56">
        <v>3</v>
      </c>
      <c r="G39" s="55">
        <f t="shared" si="8"/>
        <v>45436</v>
      </c>
      <c r="H39" s="57">
        <v>0</v>
      </c>
      <c r="I39" s="18">
        <f t="shared" si="4"/>
        <v>3</v>
      </c>
      <c r="J39" s="31"/>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row>
    <row r="40" spans="1:66" s="17" customFormat="1" ht="17.399999999999999" x14ac:dyDescent="0.25">
      <c r="A40" s="16" t="s">
        <v>54</v>
      </c>
      <c r="B40" s="49" t="s">
        <v>58</v>
      </c>
      <c r="C40" s="17" t="s">
        <v>51</v>
      </c>
      <c r="D40" s="50"/>
      <c r="E40" s="33">
        <v>45436</v>
      </c>
      <c r="F40" s="56">
        <v>4</v>
      </c>
      <c r="G40" s="55">
        <f t="shared" si="8"/>
        <v>45439</v>
      </c>
      <c r="H40" s="57">
        <v>0</v>
      </c>
      <c r="I40" s="18">
        <f t="shared" si="4"/>
        <v>2</v>
      </c>
      <c r="J40" s="31"/>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row>
    <row r="41" spans="1:66" s="17" customFormat="1" ht="17.399999999999999" x14ac:dyDescent="0.25">
      <c r="A41" s="16" t="s">
        <v>55</v>
      </c>
      <c r="B41" s="49" t="s">
        <v>59</v>
      </c>
      <c r="C41" s="17" t="s">
        <v>60</v>
      </c>
      <c r="D41" s="50"/>
      <c r="E41" s="33">
        <v>45439</v>
      </c>
      <c r="F41" s="56">
        <v>4</v>
      </c>
      <c r="G41" s="55">
        <f t="shared" si="8"/>
        <v>45442</v>
      </c>
      <c r="H41" s="57">
        <v>0</v>
      </c>
      <c r="I41" s="18">
        <f t="shared" si="4"/>
        <v>4</v>
      </c>
      <c r="J41" s="31"/>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row>
    <row r="42" spans="1:66" s="17" customFormat="1" ht="17.399999999999999" x14ac:dyDescent="0.25">
      <c r="A42" s="16" t="s">
        <v>56</v>
      </c>
      <c r="B42" s="49" t="s">
        <v>61</v>
      </c>
      <c r="C42" s="17" t="s">
        <v>17</v>
      </c>
      <c r="D42" s="50"/>
      <c r="E42" s="33">
        <v>45442</v>
      </c>
      <c r="F42" s="56">
        <v>4</v>
      </c>
      <c r="G42" s="55">
        <f t="shared" si="8"/>
        <v>45445</v>
      </c>
      <c r="H42" s="57">
        <v>0</v>
      </c>
      <c r="I42" s="18">
        <f t="shared" si="4"/>
        <v>2</v>
      </c>
      <c r="J42" s="31"/>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row>
    <row r="43" spans="1:66" s="17" customFormat="1" ht="17.399999999999999" x14ac:dyDescent="0.25">
      <c r="A43" s="16"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2.1.7</v>
      </c>
      <c r="B43" s="49" t="s">
        <v>31</v>
      </c>
      <c r="C43" s="17" t="s">
        <v>63</v>
      </c>
      <c r="D43" s="50"/>
      <c r="E43" s="33">
        <v>45448</v>
      </c>
      <c r="F43" s="56">
        <v>15</v>
      </c>
      <c r="G43" s="55">
        <f t="shared" si="8"/>
        <v>45462</v>
      </c>
      <c r="H43" s="57">
        <v>0</v>
      </c>
      <c r="I43" s="18">
        <f t="shared" si="4"/>
        <v>11</v>
      </c>
      <c r="J43" s="31"/>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row>
  </sheetData>
  <sheetProtection formatCells="0" formatColumns="0" formatRows="0" insertRows="0" deleteRows="0"/>
  <mergeCells count="19">
    <mergeCell ref="AF4:AL4"/>
    <mergeCell ref="AF5:AL5"/>
    <mergeCell ref="BH4:BN4"/>
    <mergeCell ref="BH5:BN5"/>
    <mergeCell ref="AM5:AS5"/>
    <mergeCell ref="AT4:AZ4"/>
    <mergeCell ref="AT5:AZ5"/>
    <mergeCell ref="AM4:AS4"/>
    <mergeCell ref="BA4:BG4"/>
    <mergeCell ref="BA5:BG5"/>
    <mergeCell ref="K1:AE1"/>
    <mergeCell ref="R4:X4"/>
    <mergeCell ref="K4:Q4"/>
    <mergeCell ref="C4:E4"/>
    <mergeCell ref="R5:X5"/>
    <mergeCell ref="K5:Q5"/>
    <mergeCell ref="Y4:AE4"/>
    <mergeCell ref="Y5:AE5"/>
    <mergeCell ref="C5:H5"/>
  </mergeCells>
  <phoneticPr fontId="3" type="noConversion"/>
  <conditionalFormatting sqref="H8:H18 H25:H43">
    <cfRule type="dataBar" priority="14">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BN7">
    <cfRule type="expression" dxfId="4" priority="57">
      <formula>K$6=TODAY()</formula>
    </cfRule>
  </conditionalFormatting>
  <conditionalFormatting sqref="K6:BN18 K25:BN43">
    <cfRule type="expression" dxfId="3" priority="20">
      <formula>K$6=TODAY()</formula>
    </cfRule>
  </conditionalFormatting>
  <conditionalFormatting sqref="K8:BN43">
    <cfRule type="expression" dxfId="2" priority="68">
      <formula>AND($E8&lt;=K$6,ROUNDDOWN(($G8-$E8+1)*$H8,0)+$E8-1&gt;=K$6)</formula>
    </cfRule>
    <cfRule type="expression" dxfId="1" priority="69">
      <formula>AND(NOT(ISBLANK($E8)),$E8&lt;=K$6,$G8&gt;=K$6)</formula>
    </cfRule>
  </conditionalFormatting>
  <conditionalFormatting sqref="H19:H24">
    <cfRule type="dataBar" priority="1">
      <dataBar>
        <cfvo type="num" val="0"/>
        <cfvo type="num" val="1"/>
        <color theme="0" tint="-0.34998626667073579"/>
      </dataBar>
      <extLst>
        <ext xmlns:x14="http://schemas.microsoft.com/office/spreadsheetml/2009/9/main" uri="{B025F937-C7B1-47D3-B67F-A62EFF666E3E}">
          <x14:id>{EDC026AE-2F49-4E84-B7FD-F149442FE2DD}</x14:id>
        </ext>
      </extLst>
    </cfRule>
  </conditionalFormatting>
  <conditionalFormatting sqref="K19:BN24">
    <cfRule type="expression" dxfId="0" priority="2">
      <formula>K$6=TODAY()</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hyperlinks>
    <hyperlink ref="K1:AE1" r:id="rId1" display="Gantt Chart Template © 2006-2018 by Vertex42.com."/>
  </hyperlinks>
  <pageMargins left="0.25" right="0.25" top="0.5" bottom="0.5" header="0.5" footer="0.25"/>
  <pageSetup scale="63" fitToHeight="0" orientation="landscape" r:id="rId2"/>
  <headerFooter alignWithMargins="0"/>
  <ignoredErrors>
    <ignoredError sqref="H25 H43 H38" unlockedFormula="1"/>
    <ignoredError sqref="A25" formula="1"/>
  </ignoredErrors>
  <drawing r:id="rId3"/>
  <legacyDrawing r:id="rId4"/>
  <mc:AlternateContent xmlns:mc="http://schemas.openxmlformats.org/markup-compatibility/2006">
    <mc:Choice Requires="x14">
      <controls>
        <mc:AlternateContent xmlns:mc="http://schemas.openxmlformats.org/markup-compatibility/2006">
          <mc:Choice Requires="x14">
            <control shapeId="8238" r:id="rId5" name="Scroll Bar 46">
              <controlPr defaultSize="0" print="0" autoPict="0">
                <anchor moveWithCells="1">
                  <from>
                    <xdr:col>9</xdr:col>
                    <xdr:colOff>99060</xdr:colOff>
                    <xdr:row>1</xdr:row>
                    <xdr:rowOff>121920</xdr:rowOff>
                  </from>
                  <to>
                    <xdr:col>26</xdr:col>
                    <xdr:colOff>106680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H8:H18 H25:H43</xm:sqref>
        </x14:conditionalFormatting>
        <x14:conditionalFormatting xmlns:xm="http://schemas.microsoft.com/office/excel/2006/main">
          <x14:cfRule type="dataBar" id="{EDC026AE-2F49-4E84-B7FD-F149442FE2DD}">
            <x14:dataBar minLength="0" maxLength="100" gradient="0">
              <x14:cfvo type="num">
                <xm:f>0</xm:f>
              </x14:cfvo>
              <x14:cfvo type="num">
                <xm:f>1</xm:f>
              </x14:cfvo>
              <x14:negativeFillColor rgb="FFFF0000"/>
              <x14:axisColor rgb="FF000000"/>
            </x14:dataBar>
          </x14:cfRule>
          <xm:sqref>H19:H24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GanttChart</vt:lpstr>
      <vt:lpstr>GanttChart!prevWBS</vt:lpstr>
      <vt:lpstr>GanttChart!Print_Area</vt:lpstr>
      <vt:lpstr>GanttChart!Print_Titles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2006-2018 Vertex42 LLC. All Rights Reserved.</dc:description>
  <cp:lastModifiedBy>Ayushmann Kukreja</cp:lastModifiedBy>
  <cp:lastPrinted>2018-02-12T20:25:38Z</cp:lastPrinted>
  <dcterms:created xsi:type="dcterms:W3CDTF">2010-06-09T16:05:03Z</dcterms:created>
  <dcterms:modified xsi:type="dcterms:W3CDTF">2024-03-05T04:26:29Z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